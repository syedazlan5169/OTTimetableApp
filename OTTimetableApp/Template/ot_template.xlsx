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User\source\repos\OTTimetableApp\OTTimetableApp\Template\"/>
    </mc:Choice>
  </mc:AlternateContent>
  <xr:revisionPtr revIDLastSave="0" documentId="13_ncr:1_{BFAC0C05-1EEC-4F66-BCD3-07CFA8DA5BD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laim" sheetId="92" r:id="rId1"/>
  </sheets>
  <definedNames>
    <definedName name="_xlnm.Print_Area" localSheetId="0">Claim!$A$1:$S$143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21" i="92" l="1"/>
  <c r="AH22" i="92"/>
  <c r="AH23" i="92"/>
  <c r="AH24" i="92"/>
  <c r="AH25" i="92"/>
  <c r="AH26" i="92"/>
  <c r="AH27" i="92"/>
  <c r="AH28" i="92"/>
  <c r="AH29" i="92"/>
  <c r="AH30" i="92"/>
  <c r="AH31" i="92"/>
  <c r="AH32" i="92"/>
  <c r="AH33" i="92"/>
  <c r="AH34" i="92"/>
  <c r="AH35" i="92"/>
  <c r="AH36" i="92"/>
  <c r="AH37" i="92"/>
  <c r="AH38" i="92"/>
  <c r="AH39" i="92"/>
  <c r="AH40" i="92"/>
  <c r="AH41" i="92"/>
  <c r="AH42" i="92"/>
  <c r="AH43" i="92"/>
  <c r="AH44" i="92"/>
  <c r="AH45" i="92"/>
  <c r="AH46" i="92"/>
  <c r="AH47" i="92"/>
  <c r="AH48" i="92"/>
  <c r="AH49" i="92"/>
  <c r="AH50" i="92"/>
  <c r="AH51" i="92"/>
  <c r="AH52" i="92"/>
  <c r="AH53" i="92"/>
  <c r="AH20" i="92"/>
  <c r="V21" i="92"/>
  <c r="W21" i="92" s="1"/>
  <c r="V22" i="92"/>
  <c r="W22" i="92" s="1"/>
  <c r="V23" i="92"/>
  <c r="W23" i="92" s="1"/>
  <c r="V24" i="92"/>
  <c r="W24" i="92" s="1"/>
  <c r="V25" i="92"/>
  <c r="W25" i="92" s="1"/>
  <c r="V26" i="92"/>
  <c r="W26" i="92" s="1"/>
  <c r="V27" i="92"/>
  <c r="W27" i="92" s="1"/>
  <c r="V28" i="92"/>
  <c r="X28" i="92" s="1"/>
  <c r="V29" i="92"/>
  <c r="V30" i="92"/>
  <c r="V31" i="92"/>
  <c r="V32" i="92"/>
  <c r="V33" i="92"/>
  <c r="V34" i="92"/>
  <c r="V35" i="92"/>
  <c r="V36" i="92"/>
  <c r="V37" i="92"/>
  <c r="V38" i="92"/>
  <c r="V39" i="92"/>
  <c r="V40" i="92"/>
  <c r="V41" i="92"/>
  <c r="V42" i="92"/>
  <c r="V43" i="92"/>
  <c r="V44" i="92"/>
  <c r="V45" i="92"/>
  <c r="V46" i="92"/>
  <c r="V47" i="92"/>
  <c r="V48" i="92"/>
  <c r="V49" i="92"/>
  <c r="V50" i="92"/>
  <c r="V51" i="92"/>
  <c r="V52" i="92"/>
  <c r="V53" i="92"/>
  <c r="V20" i="92"/>
  <c r="X20" i="92" s="1"/>
  <c r="F22" i="92"/>
  <c r="F23" i="92"/>
  <c r="F24" i="92"/>
  <c r="F25" i="92"/>
  <c r="F26" i="92"/>
  <c r="F27" i="92"/>
  <c r="F28" i="92"/>
  <c r="F29" i="92"/>
  <c r="F30" i="92"/>
  <c r="F31" i="92"/>
  <c r="F32" i="92"/>
  <c r="F33" i="92"/>
  <c r="F34" i="92"/>
  <c r="F35" i="92"/>
  <c r="F36" i="92"/>
  <c r="F37" i="92"/>
  <c r="F38" i="92"/>
  <c r="F39" i="92"/>
  <c r="F40" i="92"/>
  <c r="F41" i="92"/>
  <c r="F42" i="92"/>
  <c r="F43" i="92"/>
  <c r="F44" i="92"/>
  <c r="F45" i="92"/>
  <c r="F46" i="92"/>
  <c r="F47" i="92"/>
  <c r="F48" i="92"/>
  <c r="F49" i="92"/>
  <c r="F50" i="92"/>
  <c r="F51" i="92"/>
  <c r="F52" i="92"/>
  <c r="F53" i="92"/>
  <c r="A25" i="92"/>
  <c r="N23" i="92" s="1"/>
  <c r="Q79" i="92"/>
  <c r="P78" i="92"/>
  <c r="P81" i="92"/>
  <c r="N18" i="92"/>
  <c r="D126" i="92"/>
  <c r="F77" i="92"/>
  <c r="F75" i="92"/>
  <c r="P53" i="92"/>
  <c r="O53" i="92"/>
  <c r="A53" i="92"/>
  <c r="N51" i="92" s="1"/>
  <c r="P52" i="92"/>
  <c r="O52" i="92"/>
  <c r="P51" i="92"/>
  <c r="O51" i="92"/>
  <c r="A51" i="92"/>
  <c r="N49" i="92" s="1"/>
  <c r="P50" i="92"/>
  <c r="O50" i="92"/>
  <c r="N50" i="92"/>
  <c r="P49" i="92"/>
  <c r="O49" i="92"/>
  <c r="A49" i="92"/>
  <c r="N47" i="92" s="1"/>
  <c r="P48" i="92"/>
  <c r="O48" i="92"/>
  <c r="N48" i="92"/>
  <c r="P47" i="92"/>
  <c r="O47" i="92"/>
  <c r="A47" i="92"/>
  <c r="N45" i="92" s="1"/>
  <c r="P46" i="92"/>
  <c r="O46" i="92"/>
  <c r="N46" i="92"/>
  <c r="P45" i="92"/>
  <c r="O45" i="92"/>
  <c r="A45" i="92"/>
  <c r="P44" i="92"/>
  <c r="O44" i="92"/>
  <c r="N44" i="92"/>
  <c r="P43" i="92"/>
  <c r="O43" i="92"/>
  <c r="A43" i="92"/>
  <c r="P42" i="92"/>
  <c r="O42" i="92"/>
  <c r="N42" i="92"/>
  <c r="P41" i="92"/>
  <c r="O41" i="92"/>
  <c r="A41" i="92"/>
  <c r="P40" i="92"/>
  <c r="O40" i="92"/>
  <c r="N40" i="92"/>
  <c r="P39" i="92"/>
  <c r="O39" i="92"/>
  <c r="A39" i="92"/>
  <c r="P38" i="92"/>
  <c r="O38" i="92"/>
  <c r="N38" i="92"/>
  <c r="P37" i="92"/>
  <c r="O37" i="92"/>
  <c r="A37" i="92"/>
  <c r="N35" i="92" s="1"/>
  <c r="P36" i="92"/>
  <c r="O36" i="92"/>
  <c r="N36" i="92"/>
  <c r="P35" i="92"/>
  <c r="O35" i="92"/>
  <c r="A35" i="92"/>
  <c r="N33" i="92" s="1"/>
  <c r="P34" i="92"/>
  <c r="O34" i="92"/>
  <c r="N34" i="92"/>
  <c r="P33" i="92"/>
  <c r="O33" i="92"/>
  <c r="A33" i="92"/>
  <c r="P32" i="92"/>
  <c r="O32" i="92"/>
  <c r="N32" i="92"/>
  <c r="P31" i="92"/>
  <c r="O31" i="92"/>
  <c r="A31" i="92"/>
  <c r="P30" i="92"/>
  <c r="O30" i="92"/>
  <c r="N30" i="92"/>
  <c r="P29" i="92"/>
  <c r="O29" i="92"/>
  <c r="A29" i="92"/>
  <c r="P28" i="92"/>
  <c r="O28" i="92"/>
  <c r="N28" i="92"/>
  <c r="P27" i="92"/>
  <c r="O27" i="92"/>
  <c r="A27" i="92"/>
  <c r="N25" i="92" s="1"/>
  <c r="P26" i="92"/>
  <c r="O26" i="92"/>
  <c r="N26" i="92"/>
  <c r="P25" i="92"/>
  <c r="O25" i="92"/>
  <c r="P24" i="92"/>
  <c r="O24" i="92"/>
  <c r="N24" i="92"/>
  <c r="P23" i="92"/>
  <c r="O23" i="92"/>
  <c r="A23" i="92"/>
  <c r="P22" i="92"/>
  <c r="O22" i="92"/>
  <c r="N22" i="92"/>
  <c r="P21" i="92"/>
  <c r="O21" i="92"/>
  <c r="F21" i="92"/>
  <c r="A21" i="92"/>
  <c r="P20" i="92"/>
  <c r="O20" i="92"/>
  <c r="N20" i="92"/>
  <c r="P19" i="92"/>
  <c r="O19" i="92"/>
  <c r="P18" i="92"/>
  <c r="O18" i="92"/>
  <c r="Q12" i="92"/>
  <c r="Q11" i="92"/>
  <c r="Q10" i="92"/>
  <c r="Q9" i="92"/>
  <c r="F59" i="92"/>
  <c r="X23" i="92" l="1"/>
  <c r="Y23" i="92" s="1"/>
  <c r="W20" i="92"/>
  <c r="W28" i="92"/>
  <c r="W29" i="92"/>
  <c r="X29" i="92"/>
  <c r="X30" i="92"/>
  <c r="W30" i="92"/>
  <c r="AG31" i="92"/>
  <c r="X31" i="92"/>
  <c r="W31" i="92"/>
  <c r="AD31" i="92" a="1"/>
  <c r="AD31" i="92" s="1"/>
  <c r="AC31" i="92"/>
  <c r="AF31" i="92"/>
  <c r="X32" i="92"/>
  <c r="W32" i="92"/>
  <c r="AA32" i="92" s="1"/>
  <c r="Z32" i="92" a="1"/>
  <c r="Z32" i="92" s="1"/>
  <c r="W33" i="92"/>
  <c r="X33" i="92"/>
  <c r="X34" i="92"/>
  <c r="W34" i="92"/>
  <c r="AE35" i="92"/>
  <c r="AF35" i="92"/>
  <c r="W35" i="92"/>
  <c r="X35" i="92"/>
  <c r="AC35" i="92"/>
  <c r="AD35" i="92" a="1"/>
  <c r="AD35" i="92" s="1"/>
  <c r="AG35" i="92"/>
  <c r="Z35" i="92" a="1"/>
  <c r="Z35" i="92" s="1"/>
  <c r="AA35" i="92"/>
  <c r="AB35" i="92" a="1"/>
  <c r="AB35" i="92" s="1"/>
  <c r="X36" i="92"/>
  <c r="W36" i="92"/>
  <c r="X37" i="92"/>
  <c r="W37" i="92"/>
  <c r="AA37" i="92" s="1"/>
  <c r="W38" i="92"/>
  <c r="X38" i="92"/>
  <c r="X39" i="92"/>
  <c r="W39" i="92"/>
  <c r="X40" i="92"/>
  <c r="W40" i="92"/>
  <c r="Z40" i="92" s="1" a="1"/>
  <c r="Z40" i="92" s="1"/>
  <c r="X41" i="92"/>
  <c r="W41" i="92"/>
  <c r="W42" i="92"/>
  <c r="X42" i="92"/>
  <c r="AD43" i="92" a="1"/>
  <c r="AD43" i="92" s="1"/>
  <c r="AE43" i="92"/>
  <c r="AF43" i="92"/>
  <c r="AG43" i="92"/>
  <c r="X43" i="92"/>
  <c r="AC43" i="92"/>
  <c r="AB43" i="92" a="1"/>
  <c r="AB43" i="92" s="1"/>
  <c r="W43" i="92"/>
  <c r="W44" i="92"/>
  <c r="AA44" i="92" s="1"/>
  <c r="X44" i="92"/>
  <c r="W45" i="92"/>
  <c r="X45" i="92"/>
  <c r="Y45" i="92" s="1"/>
  <c r="W46" i="92"/>
  <c r="X46" i="92"/>
  <c r="Y46" i="92" s="1"/>
  <c r="X47" i="92"/>
  <c r="W47" i="92"/>
  <c r="Z47" i="92" a="1"/>
  <c r="Z47" i="92" s="1"/>
  <c r="X48" i="92"/>
  <c r="W48" i="92"/>
  <c r="AB49" i="92" a="1"/>
  <c r="AB49" i="92" s="1"/>
  <c r="AC49" i="92"/>
  <c r="AD49" i="92" a="1"/>
  <c r="AD49" i="92" s="1"/>
  <c r="W49" i="92"/>
  <c r="AE49" i="92"/>
  <c r="AF49" i="92"/>
  <c r="AG49" i="92"/>
  <c r="X49" i="92"/>
  <c r="Z49" i="92" a="1"/>
  <c r="Z49" i="92" s="1"/>
  <c r="AA49" i="92"/>
  <c r="X50" i="92"/>
  <c r="W50" i="92"/>
  <c r="X51" i="92"/>
  <c r="W51" i="92"/>
  <c r="W52" i="92"/>
  <c r="X52" i="92"/>
  <c r="Z52" i="92" a="1"/>
  <c r="Z52" i="92" s="1"/>
  <c r="X53" i="92"/>
  <c r="W53" i="92"/>
  <c r="X21" i="92"/>
  <c r="Z27" i="92" a="1"/>
  <c r="Z27" i="92" s="1"/>
  <c r="X25" i="92"/>
  <c r="Z25" i="92" a="1"/>
  <c r="Z25" i="92" s="1"/>
  <c r="X24" i="92"/>
  <c r="Z21" i="92" a="1"/>
  <c r="Z21" i="92" s="1"/>
  <c r="AB23" i="92" a="1"/>
  <c r="AB23" i="92" s="1"/>
  <c r="AC23" i="92"/>
  <c r="AD23" i="92" a="1"/>
  <c r="AD23" i="92" s="1"/>
  <c r="AE23" i="92"/>
  <c r="AF23" i="92"/>
  <c r="AG23" i="92"/>
  <c r="Z23" i="92" a="1"/>
  <c r="Z23" i="92" s="1"/>
  <c r="AA23" i="92"/>
  <c r="Z24" i="92" a="1"/>
  <c r="Z24" i="92" s="1"/>
  <c r="Z26" i="92" a="1"/>
  <c r="Z26" i="92" s="1"/>
  <c r="Z29" i="92" a="1"/>
  <c r="Z29" i="92" s="1"/>
  <c r="AA31" i="92"/>
  <c r="AE31" i="92"/>
  <c r="AB31" i="92" a="1"/>
  <c r="AB31" i="92" s="1"/>
  <c r="Z31" i="92" a="1"/>
  <c r="Z31" i="92" s="1"/>
  <c r="Z33" i="92" a="1"/>
  <c r="Z33" i="92" s="1"/>
  <c r="AC33" i="92"/>
  <c r="AD33" i="92" a="1"/>
  <c r="AD33" i="92" s="1"/>
  <c r="AE33" i="92"/>
  <c r="Z37" i="92" a="1"/>
  <c r="Z37" i="92" s="1"/>
  <c r="Z38" i="92" a="1"/>
  <c r="Z38" i="92" s="1"/>
  <c r="AB38" i="92" a="1"/>
  <c r="AB38" i="92" s="1"/>
  <c r="Z39" i="92" a="1"/>
  <c r="Z39" i="92" s="1"/>
  <c r="AA39" i="92"/>
  <c r="AB39" i="92" a="1"/>
  <c r="AB39" i="92" s="1"/>
  <c r="AC39" i="92"/>
  <c r="AD39" i="92" a="1"/>
  <c r="AD39" i="92" s="1"/>
  <c r="AE39" i="92"/>
  <c r="AF39" i="92"/>
  <c r="AG39" i="92"/>
  <c r="Z43" i="92" a="1"/>
  <c r="Z43" i="92" s="1"/>
  <c r="AA43" i="92"/>
  <c r="Z44" i="92" a="1"/>
  <c r="Z44" i="92" s="1"/>
  <c r="AC45" i="92"/>
  <c r="AG45" i="92"/>
  <c r="AF45" i="92"/>
  <c r="AE45" i="92"/>
  <c r="Z45" i="92" a="1"/>
  <c r="Z45" i="92" s="1"/>
  <c r="AA45" i="92"/>
  <c r="AB45" i="92" a="1"/>
  <c r="AB45" i="92" s="1"/>
  <c r="AD45" i="92" a="1"/>
  <c r="AD45" i="92" s="1"/>
  <c r="AG51" i="92"/>
  <c r="AF51" i="92"/>
  <c r="AE51" i="92"/>
  <c r="AD51" i="92" a="1"/>
  <c r="AD51" i="92" s="1"/>
  <c r="AB51" i="92" a="1"/>
  <c r="AB51" i="92" s="1"/>
  <c r="AA51" i="92"/>
  <c r="Z51" i="92" a="1"/>
  <c r="Z51" i="92" s="1"/>
  <c r="AC51" i="92"/>
  <c r="N19" i="92"/>
  <c r="N21" i="92"/>
  <c r="F54" i="92"/>
  <c r="N43" i="92"/>
  <c r="N41" i="92"/>
  <c r="N39" i="92"/>
  <c r="N37" i="92"/>
  <c r="N31" i="92"/>
  <c r="N29" i="92"/>
  <c r="N27" i="92"/>
  <c r="Y44" i="92" l="1"/>
  <c r="Y35" i="92"/>
  <c r="Y38" i="92"/>
  <c r="Y20" i="92"/>
  <c r="Z20" i="92" a="1"/>
  <c r="Z20" i="92" s="1"/>
  <c r="AA20" i="92" s="1"/>
  <c r="Y33" i="92"/>
  <c r="AB33" i="92" s="1" a="1"/>
  <c r="AB33" i="92" s="1"/>
  <c r="Y29" i="92"/>
  <c r="Y52" i="92"/>
  <c r="Z53" i="92" a="1"/>
  <c r="Z53" i="92" s="1"/>
  <c r="AA53" i="92" s="1"/>
  <c r="AA52" i="92"/>
  <c r="Z50" i="92" a="1"/>
  <c r="Z50" i="92" s="1"/>
  <c r="AA50" i="92" s="1"/>
  <c r="Y49" i="92"/>
  <c r="Y51" i="92"/>
  <c r="Z48" i="92" a="1"/>
  <c r="Z48" i="92" s="1"/>
  <c r="AA48" i="92" s="1"/>
  <c r="AA47" i="92"/>
  <c r="Z46" i="92" a="1"/>
  <c r="Z46" i="92" s="1"/>
  <c r="AB46" i="92" a="1"/>
  <c r="AB46" i="92" s="1"/>
  <c r="AE46" i="92"/>
  <c r="AC46" i="92"/>
  <c r="AD46" i="92" a="1"/>
  <c r="AD46" i="92" s="1"/>
  <c r="AE44" i="92"/>
  <c r="AD44" i="92" a="1"/>
  <c r="AD44" i="92" s="1"/>
  <c r="AB44" i="92" a="1"/>
  <c r="AB44" i="92" s="1"/>
  <c r="Z42" i="92" a="1"/>
  <c r="Z42" i="92" s="1"/>
  <c r="AA42" i="92" s="1"/>
  <c r="Y42" i="92"/>
  <c r="Z41" i="92" a="1"/>
  <c r="Z41" i="92" s="1"/>
  <c r="AA41" i="92" s="1"/>
  <c r="AA40" i="92"/>
  <c r="AE38" i="92"/>
  <c r="AD38" i="92" a="1"/>
  <c r="AD38" i="92" s="1"/>
  <c r="AC38" i="92"/>
  <c r="AF38" i="92"/>
  <c r="AA38" i="92"/>
  <c r="Z36" i="92" a="1"/>
  <c r="Z36" i="92" s="1"/>
  <c r="AA36" i="92" s="1"/>
  <c r="Z34" i="92" a="1"/>
  <c r="Z34" i="92" s="1"/>
  <c r="AA34" i="92" s="1"/>
  <c r="AA33" i="92"/>
  <c r="AG33" i="92" s="1"/>
  <c r="AF33" i="92"/>
  <c r="Z30" i="92" a="1"/>
  <c r="Z30" i="92" s="1"/>
  <c r="AA30" i="92" s="1"/>
  <c r="AB29" i="92" a="1"/>
  <c r="AB29" i="92" s="1"/>
  <c r="AD29" i="92" a="1"/>
  <c r="AD29" i="92" s="1"/>
  <c r="AE29" i="92"/>
  <c r="AA29" i="92"/>
  <c r="Y28" i="92"/>
  <c r="Z28" i="92" a="1"/>
  <c r="Z28" i="92" s="1"/>
  <c r="AA25" i="92"/>
  <c r="Y30" i="92"/>
  <c r="Y31" i="92"/>
  <c r="Y32" i="92"/>
  <c r="Y34" i="92"/>
  <c r="Y47" i="92"/>
  <c r="Y37" i="92"/>
  <c r="Y39" i="92"/>
  <c r="Y40" i="92"/>
  <c r="Y41" i="92"/>
  <c r="Y43" i="92"/>
  <c r="Y48" i="92"/>
  <c r="Y53" i="92"/>
  <c r="Y36" i="92"/>
  <c r="Y50" i="92"/>
  <c r="AA27" i="92"/>
  <c r="AA21" i="92"/>
  <c r="Y21" i="92"/>
  <c r="X22" i="92"/>
  <c r="Y22" i="92" s="1"/>
  <c r="Y25" i="92"/>
  <c r="AA24" i="92"/>
  <c r="Y24" i="92"/>
  <c r="X26" i="92"/>
  <c r="Z22" i="92" a="1"/>
  <c r="Z22" i="92" s="1"/>
  <c r="AA22" i="92" s="1"/>
  <c r="AA26" i="92"/>
  <c r="AB52" i="92" l="1" a="1"/>
  <c r="AB52" i="92" s="1"/>
  <c r="AE52" i="92"/>
  <c r="AD52" i="92" a="1"/>
  <c r="AD52" i="92" s="1"/>
  <c r="AB53" i="92" a="1"/>
  <c r="AB53" i="92" s="1"/>
  <c r="AD53" i="92" a="1"/>
  <c r="AD53" i="92" s="1"/>
  <c r="AC53" i="92"/>
  <c r="AE53" i="92"/>
  <c r="AB50" i="92" a="1"/>
  <c r="AB50" i="92" s="1"/>
  <c r="AC50" i="92" s="1"/>
  <c r="AG50" i="92" s="1"/>
  <c r="AE50" i="92"/>
  <c r="AD50" i="92" a="1"/>
  <c r="AD50" i="92" s="1"/>
  <c r="AD48" i="92" a="1"/>
  <c r="AD48" i="92" s="1"/>
  <c r="AE48" i="92"/>
  <c r="AB48" i="92" a="1"/>
  <c r="AB48" i="92" s="1"/>
  <c r="AC48" i="92"/>
  <c r="AG48" i="92" s="1"/>
  <c r="AB47" i="92" a="1"/>
  <c r="AB47" i="92" s="1"/>
  <c r="AE47" i="92"/>
  <c r="AD47" i="92" a="1"/>
  <c r="AD47" i="92" s="1"/>
  <c r="AF46" i="92"/>
  <c r="AA46" i="92"/>
  <c r="AG46" i="92" s="1"/>
  <c r="AF44" i="92"/>
  <c r="AC44" i="92"/>
  <c r="AG44" i="92" s="1"/>
  <c r="AB42" i="92" a="1"/>
  <c r="AB42" i="92" s="1"/>
  <c r="AC42" i="92"/>
  <c r="AG42" i="92" s="1"/>
  <c r="AE42" i="92"/>
  <c r="AD42" i="92" a="1"/>
  <c r="AD42" i="92" s="1"/>
  <c r="AB41" i="92" a="1"/>
  <c r="AB41" i="92" s="1"/>
  <c r="AD41" i="92" a="1"/>
  <c r="AD41" i="92" s="1"/>
  <c r="AE41" i="92" s="1"/>
  <c r="AG41" i="92" s="1"/>
  <c r="AC41" i="92"/>
  <c r="AB40" i="92" a="1"/>
  <c r="AB40" i="92" s="1"/>
  <c r="AC40" i="92" s="1"/>
  <c r="AD40" i="92" a="1"/>
  <c r="AD40" i="92" s="1"/>
  <c r="AE40" i="92"/>
  <c r="AG38" i="92"/>
  <c r="AE37" i="92"/>
  <c r="AD37" i="92" a="1"/>
  <c r="AD37" i="92" s="1"/>
  <c r="AB37" i="92" a="1"/>
  <c r="AB37" i="92" s="1"/>
  <c r="AD36" i="92" a="1"/>
  <c r="AD36" i="92" s="1"/>
  <c r="AB36" i="92" a="1"/>
  <c r="AB36" i="92" s="1"/>
  <c r="AE36" i="92"/>
  <c r="AC34" i="92"/>
  <c r="AG34" i="92" s="1"/>
  <c r="AD34" i="92" a="1"/>
  <c r="AD34" i="92" s="1"/>
  <c r="AB34" i="92" a="1"/>
  <c r="AB34" i="92" s="1"/>
  <c r="AF34" i="92" s="1"/>
  <c r="AE34" i="92"/>
  <c r="AD32" i="92" a="1"/>
  <c r="AD32" i="92" s="1"/>
  <c r="AE32" i="92"/>
  <c r="AB32" i="92" a="1"/>
  <c r="AB32" i="92" s="1"/>
  <c r="AC30" i="92"/>
  <c r="AG30" i="92" s="1"/>
  <c r="AE30" i="92"/>
  <c r="AD30" i="92" a="1"/>
  <c r="AD30" i="92" s="1"/>
  <c r="AB30" i="92" a="1"/>
  <c r="AB30" i="92" s="1"/>
  <c r="AF30" i="92" s="1"/>
  <c r="AF29" i="92"/>
  <c r="AC29" i="92"/>
  <c r="AG29" i="92" s="1"/>
  <c r="AB28" i="92" a="1"/>
  <c r="AB28" i="92" s="1"/>
  <c r="AF28" i="92" s="1"/>
  <c r="AE28" i="92"/>
  <c r="AC28" i="92"/>
  <c r="AD28" i="92" a="1"/>
  <c r="AD28" i="92" s="1"/>
  <c r="AA28" i="92"/>
  <c r="AB25" i="92" a="1"/>
  <c r="AB25" i="92" s="1"/>
  <c r="AF25" i="92" s="1"/>
  <c r="AD25" i="92" a="1"/>
  <c r="AD25" i="92" s="1"/>
  <c r="AC25" i="92"/>
  <c r="AG25" i="92" s="1"/>
  <c r="AE25" i="92"/>
  <c r="AB21" i="92" a="1"/>
  <c r="AB21" i="92" s="1"/>
  <c r="AD21" i="92" a="1"/>
  <c r="AD21" i="92" s="1"/>
  <c r="AE21" i="92"/>
  <c r="Y26" i="92"/>
  <c r="X27" i="92"/>
  <c r="Y27" i="92" s="1"/>
  <c r="AF53" i="92" l="1"/>
  <c r="AF52" i="92"/>
  <c r="AC52" i="92"/>
  <c r="AG52" i="92" s="1"/>
  <c r="AG53" i="92"/>
  <c r="AF50" i="92"/>
  <c r="AF48" i="92"/>
  <c r="AF47" i="92"/>
  <c r="AC47" i="92"/>
  <c r="AG47" i="92" s="1"/>
  <c r="AF42" i="92"/>
  <c r="AF41" i="92"/>
  <c r="AG40" i="92"/>
  <c r="AF40" i="92"/>
  <c r="AF37" i="92"/>
  <c r="AC37" i="92"/>
  <c r="AG37" i="92" s="1"/>
  <c r="AF36" i="92"/>
  <c r="AC36" i="92"/>
  <c r="AG36" i="92" s="1"/>
  <c r="AF32" i="92"/>
  <c r="AC32" i="92"/>
  <c r="AG32" i="92" s="1"/>
  <c r="AG28" i="92"/>
  <c r="AB27" i="92" a="1"/>
  <c r="AB27" i="92" s="1"/>
  <c r="AC27" i="92" s="1"/>
  <c r="AD27" i="92" a="1"/>
  <c r="AD27" i="92" s="1"/>
  <c r="AE27" i="92" s="1"/>
  <c r="AF21" i="92"/>
  <c r="AC21" i="92"/>
  <c r="AG21" i="92" s="1"/>
  <c r="AG27" i="92" l="1"/>
  <c r="AF27" i="92"/>
  <c r="AD26" i="92" l="1" a="1"/>
  <c r="AD26" i="92" s="1"/>
  <c r="AE26" i="92" s="1"/>
  <c r="AE24" i="92"/>
  <c r="AD24" i="92" a="1"/>
  <c r="AD24" i="92" s="1"/>
  <c r="AD22" i="92" a="1"/>
  <c r="AD22" i="92" s="1"/>
  <c r="AE22" i="92"/>
  <c r="AB22" i="92" a="1"/>
  <c r="AB22" i="92" s="1"/>
  <c r="AB24" i="92" a="1"/>
  <c r="AB24" i="92" s="1"/>
  <c r="AC24" i="92" s="1"/>
  <c r="AB26" i="92" a="1"/>
  <c r="AB26" i="92" s="1"/>
  <c r="AC26" i="92" s="1"/>
  <c r="AG26" i="92" l="1"/>
  <c r="AG24" i="92"/>
  <c r="AF24" i="92"/>
  <c r="AC22" i="92"/>
  <c r="AG22" i="92" s="1"/>
  <c r="AF22" i="92"/>
  <c r="AF26" i="92"/>
  <c r="AC20" i="92"/>
  <c r="G54" i="92" l="1"/>
  <c r="G55" i="92" s="1"/>
  <c r="AB20" i="92" a="1"/>
  <c r="AB20" i="92" s="1"/>
  <c r="AE20" i="92"/>
  <c r="AG20" i="92" s="1"/>
  <c r="AD20" i="92" a="1"/>
  <c r="AD20" i="92" s="1"/>
  <c r="I54" i="92" l="1"/>
  <c r="I55" i="92" s="1"/>
  <c r="K54" i="92"/>
  <c r="K55" i="92" s="1"/>
  <c r="AF20" i="92"/>
  <c r="H54" i="92" l="1"/>
  <c r="H55" i="92" s="1"/>
  <c r="J54" i="92"/>
  <c r="J55" i="92" s="1"/>
  <c r="F58" i="92" l="1"/>
  <c r="F60" i="9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<sst xmlns="http://schemas.openxmlformats.org/spreadsheetml/2006/main" count="164" uniqueCount="127">
  <si>
    <t>JABATAN KASTAM DIRAJA MALAYSIA</t>
  </si>
  <si>
    <t>STESEN  :  PELABUHAN KLANG</t>
  </si>
  <si>
    <t>Tuntutan Elaun Lebihmasa Untuk</t>
  </si>
  <si>
    <t>(PERINTAH AM BAB G 1974 P.P.2/77)</t>
  </si>
  <si>
    <t xml:space="preserve">NAMA              </t>
  </si>
  <si>
    <t>:</t>
  </si>
  <si>
    <t xml:space="preserve">GAJI                                        </t>
  </si>
  <si>
    <t xml:space="preserve">KADAR SATU JAM                   </t>
  </si>
  <si>
    <t xml:space="preserve">JAW/NO PiK  </t>
  </si>
  <si>
    <t xml:space="preserve">KELEPASAN MINGGUAN      </t>
  </si>
  <si>
    <t>GILIRAN</t>
  </si>
  <si>
    <t xml:space="preserve">BAH/CAW      </t>
  </si>
  <si>
    <t xml:space="preserve">NOMBOR GAJI                        </t>
  </si>
  <si>
    <t>NO. TEL</t>
  </si>
  <si>
    <t xml:space="preserve">NO. AKAUN BANK                  </t>
  </si>
  <si>
    <t>Tarikh</t>
  </si>
  <si>
    <t>Waktu Kerja Biasa</t>
  </si>
  <si>
    <t>Waktu Kerja Lembur</t>
  </si>
  <si>
    <t>Jumlah Jam Kerja Lembur</t>
  </si>
  <si>
    <t>Gandaan Bayaran X (4)</t>
  </si>
  <si>
    <t>CATATAN</t>
  </si>
  <si>
    <t>dan</t>
  </si>
  <si>
    <t>Hari</t>
  </si>
  <si>
    <t>Dari</t>
  </si>
  <si>
    <t>Hingga</t>
  </si>
  <si>
    <t>1.125</t>
  </si>
  <si>
    <t>1.5</t>
  </si>
  <si>
    <t>1.75</t>
  </si>
  <si>
    <t>Jumlah Tuntutan (Jam)</t>
  </si>
  <si>
    <t xml:space="preserve">                                                                                                                                                                                                                       </t>
  </si>
  <si>
    <t xml:space="preserve"> </t>
  </si>
  <si>
    <t xml:space="preserve">Kadar Satu Jam         </t>
  </si>
  <si>
    <t>RM</t>
  </si>
  <si>
    <t xml:space="preserve">Jumlah Tuntutan  </t>
  </si>
  <si>
    <t xml:space="preserve">INGATAN : </t>
  </si>
  <si>
    <t>Tuntutan kerja lebihmasa pada hari Sabtu, Ahad dan Cuti Am serta Kelepasan Mingguan hendaklah dinyatakan tarikh-tarikh di ruang yang disediakan.</t>
  </si>
  <si>
    <t>a.</t>
  </si>
  <si>
    <t>Saya mengaku bahawa kerja diatas telah dilaksanakan oleh saya    :</t>
  </si>
  <si>
    <t xml:space="preserve">Dituntut oleh </t>
  </si>
  <si>
    <t xml:space="preserve">Nama </t>
  </si>
  <si>
    <t>Jawatan</t>
  </si>
  <si>
    <t xml:space="preserve">Tarikh </t>
  </si>
  <si>
    <t xml:space="preserve">Disokong oleh </t>
  </si>
  <si>
    <t xml:space="preserve">Nama   </t>
  </si>
  <si>
    <t>b.</t>
  </si>
  <si>
    <t>Adalah disahkan bahawa pegawai ini telah membuat kerja lebihmasa pada tarikh tersebut di atas.</t>
  </si>
  <si>
    <t>Adalah perlu bagi Pegawai ini bekerja lebihmasa dan disahkan bahawa tuntutan yang tersebut adalah</t>
  </si>
  <si>
    <t xml:space="preserve">betul mengikut Perintah Am Bab G Pekeliling Perkhidmatan Bilangan 2/1977. Saya menyokong  tuntutan </t>
  </si>
  <si>
    <t>ini. Tuntutan kerja lebihmasa ini tidak bertentangan dalam Kenyataan perenggan IV Arahan IVA dan IVB</t>
  </si>
  <si>
    <t xml:space="preserve">Langkah Berjimat Cermat surat PEK.PERB.BIL.(2900)191/41-2PUA (6) bertarikh 1.7.77. Bahawa saya </t>
  </si>
  <si>
    <t>mengaku tuntutan di atas adalah betul mengikut Undang-Undang Kastam.</t>
  </si>
  <si>
    <t>c.</t>
  </si>
  <si>
    <t>Adalah disahkan bahawa pegawai ini telah melakukan kerja-kerja tersebut melebihi 8 jam terus menerus</t>
  </si>
  <si>
    <t>termasuk waktu rehat / makan (mengikut Perintah Am Bab 'G' dan surat Pekeliling Perkhidmatan Bil.1</t>
  </si>
  <si>
    <t>Tahun 1980)</t>
  </si>
  <si>
    <t>Pegawai ini tidak membuat penanggungan kerja.</t>
  </si>
  <si>
    <t>d.</t>
  </si>
  <si>
    <t>Nama</t>
  </si>
  <si>
    <t>LAMPIRAN A</t>
  </si>
  <si>
    <t xml:space="preserve">Bahagian/Cawangan            </t>
  </si>
  <si>
    <t>Bulan</t>
  </si>
  <si>
    <t>TARIKH</t>
  </si>
  <si>
    <t>WAKTU LEMBUR</t>
  </si>
  <si>
    <t>TUGAS/PERKARA</t>
  </si>
  <si>
    <t>Tandatangan Ketua Bahagian/Cawangan/Unit</t>
  </si>
  <si>
    <t>LAMPIRAN 'D'</t>
  </si>
  <si>
    <t>(Perintah Tetap Perjawatan Bil.30)</t>
  </si>
  <si>
    <t>JKDM ZON TENGAH, UNIT II (SELANGOR)</t>
  </si>
  <si>
    <t>SENARAI SEMAK TUNTUTAN ELAUN LEBIH MASA</t>
  </si>
  <si>
    <t xml:space="preserve">Nama Pegawai Yang Menuntut: </t>
  </si>
  <si>
    <t>COP TERIMA SEKSYEN KEWANGAN</t>
  </si>
  <si>
    <t>Tarikh dihantar kepada Seksyen Kewangan:______________________</t>
  </si>
  <si>
    <t>BIL</t>
  </si>
  <si>
    <t>SEMAKAN (√/TB)</t>
  </si>
  <si>
    <t>PERIHAL DAN SUSUNAN DOKUMEN DIPERLUKAN</t>
  </si>
  <si>
    <t>CATATAN /KUIRI</t>
  </si>
  <si>
    <t>Pegawai yang menuntut/ Urusetia</t>
  </si>
  <si>
    <t>Seksyen Kewangan</t>
  </si>
  <si>
    <t>Lampiran E (Borang Tuntutan Elaun Lebih Masa)</t>
  </si>
  <si>
    <t>Salinan Kad Perakam Waktu / Buku Kedatangan</t>
  </si>
  <si>
    <t>Lampiran A (Keterangan lengkap kerja lebih masa)</t>
  </si>
  <si>
    <t>Surat Arahan Kerja Lebih Masa</t>
  </si>
  <si>
    <t>Lampiran D (Jika tuntutan melebihi 1/3 gaji pokok)</t>
  </si>
  <si>
    <t>Salinan slip gaji mengikut bulan tuntutan</t>
  </si>
  <si>
    <t>Salinan Penyata Bank</t>
  </si>
  <si>
    <t>Salinan dokumen-dokumen sokongan lain yang berkaitan</t>
  </si>
  <si>
    <r>
      <t xml:space="preserve">Semua dokumen </t>
    </r>
    <r>
      <rPr>
        <b/>
        <sz val="14"/>
        <color theme="1"/>
        <rFont val="Calibri"/>
        <family val="2"/>
      </rPr>
      <t xml:space="preserve">SALINAN </t>
    </r>
    <r>
      <rPr>
        <sz val="14"/>
        <color theme="1"/>
        <rFont val="Calibri"/>
        <family val="2"/>
      </rPr>
      <t>telah dicop "Salinan Diakui Sah" dan ditandatangani oleh pegawai berkaitan.</t>
    </r>
    <r>
      <rPr>
        <b/>
        <sz val="14"/>
        <color theme="1"/>
        <rFont val="Calibri"/>
        <family val="2"/>
      </rPr>
      <t>JANGAN</t>
    </r>
    <r>
      <rPr>
        <sz val="14"/>
        <color theme="1"/>
        <rFont val="Calibri"/>
        <family val="2"/>
      </rPr>
      <t xml:space="preserve"> bertindih di atas butiran penting untuk semakan tuntutan.</t>
    </r>
  </si>
  <si>
    <t>SEMUA DOKUMEN UNTUK TUNTUTAN ELAUN LEBIH MASA TELAH DIPASTIKAN BETUL,LENGKAP,JELAS DAN TERSUSUN SEBELUM DIHANTAR KEPADA SEKSYEN KEWANGAN</t>
  </si>
  <si>
    <t xml:space="preserve">NO. KP   </t>
  </si>
  <si>
    <t>MENYEMAK IMEJ/ MENAHAN KONTENA</t>
  </si>
  <si>
    <t>Menyemak sistem SMK dan GCS, Menganalisa imej dagangan kontena dan menahan kontena</t>
  </si>
  <si>
    <t>SIJIL TUNTUTAN LEBIHMASA MENGIKUT SURAT</t>
  </si>
  <si>
    <t>PEKELILING PERKHIDMATAN BIL:21/1977</t>
  </si>
  <si>
    <t>( DIISI JIKA TUNTUTAN ELAUN LEBIH MASA MELEBIHI 1/3 GAJI PEGAWAI   )</t>
  </si>
  <si>
    <t xml:space="preserve">            Disahkan bahawa tuntutan pegawai adalah teratul dan syarat dibawah Surat Pekeliling Perkhidmatan</t>
  </si>
  <si>
    <t xml:space="preserve">            Bil. 21/1977 seperti berikut telah dipatuhi:</t>
  </si>
  <si>
    <t xml:space="preserve">                             1.   Semua pekerja yang terlibat telah menjalan kan kerja lebih masa melangkaui had 1/3</t>
  </si>
  <si>
    <t xml:space="preserve">                                   daripada gaji.</t>
  </si>
  <si>
    <t xml:space="preserve">                             2.   Pekerja yang tidak mahu membuat kerja lebih masa telah membuat pengakuan dan surat</t>
  </si>
  <si>
    <t xml:space="preserve">                             3.   Adalah atas sebab-sebab yang munasabah pegawai diarah membuat kerja lebih masa di</t>
  </si>
  <si>
    <t>(TANDATANGAN PEGAWAI TERTINGGI "G")</t>
  </si>
  <si>
    <t>(PEGAWAI KUMPULAN "A" SEKIRANYA</t>
  </si>
  <si>
    <t>KETIADAAN PEGAWAI TERTINGGI "G"</t>
  </si>
  <si>
    <t>DI STESEN)</t>
  </si>
  <si>
    <t>NAMA</t>
  </si>
  <si>
    <t>JAWATAN</t>
  </si>
  <si>
    <t>……………….……………….………………………………………..</t>
  </si>
  <si>
    <t>Tuntutan diluluskan,</t>
  </si>
  <si>
    <t xml:space="preserve">                                   atas.</t>
  </si>
  <si>
    <t xml:space="preserve">Ketua Jabatan      </t>
  </si>
  <si>
    <t xml:space="preserve">(TANDATANGAN )   </t>
  </si>
  <si>
    <t>LEBIHAN JAM BERTUGAS KUMPULAN</t>
  </si>
  <si>
    <t>RUJUK JADUAL DI LAMPIRAN</t>
  </si>
  <si>
    <t>Jadual bertugas waktu bukan pejabat termasuk jumlah keseluruhan jam bertugas bagi bulan tuntutan</t>
  </si>
  <si>
    <t>OT_StartDT</t>
  </si>
  <si>
    <t>OT_EndDT</t>
  </si>
  <si>
    <t>SessionStartDT</t>
  </si>
  <si>
    <t>CumHours_End</t>
  </si>
  <si>
    <t>RawDayHrs</t>
  </si>
  <si>
    <t>RawNightHrs</t>
  </si>
  <si>
    <t>Ded1_DayHrs</t>
  </si>
  <si>
    <t>Ded1_NightHrs</t>
  </si>
  <si>
    <t>Ded2_DayHrs</t>
  </si>
  <si>
    <t>Ded2_NightHrs</t>
  </si>
  <si>
    <t>PayDayHrs</t>
  </si>
  <si>
    <t>PayNightHrs</t>
  </si>
  <si>
    <t>WK_Type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</si>
</sst>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(* #,##0.00_);_(* \(#,##0.00\);_(* &quot;-&quot;??_);_(@_)"/>
    <numFmt numFmtId="165" formatCode="General_)"/>
    <numFmt numFmtId="166" formatCode="0.00_)"/>
    <numFmt numFmtId="167" formatCode="&quot;RM&quot;#,##0.00_);\(&quot;RM&quot;#,##0.00\)"/>
    <numFmt numFmtId="168" formatCode="0_)"/>
    <numFmt numFmtId="169" formatCode="0.000_)"/>
    <numFmt numFmtId="170" formatCode="_(* #,##0.000_);_(* \(#,##0.000\);_(* &quot;-&quot;??_);_(@_)"/>
    <numFmt numFmtId="171" formatCode="dd/mm/yyyy;@"/>
    <numFmt numFmtId="172" formatCode="dd\.mm\.yyyy;@"/>
    <numFmt numFmtId="173" formatCode="[$-14409]hh:mm;@"/>
    <numFmt numFmtId="174" formatCode="0.00_ ;\-0.00\ "/>
    <numFmt numFmtId="175" formatCode="[$-14409]dd/mm/yyyy;@"/>
  </numFmts>
  <fonts count="4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Helv"/>
    </font>
    <font>
      <b/>
      <sz val="11"/>
      <name val="Arial"/>
      <family val="2"/>
    </font>
    <font>
      <sz val="9"/>
      <name val="Helv"/>
    </font>
    <font>
      <b/>
      <sz val="9"/>
      <name val="Helv"/>
    </font>
    <font>
      <b/>
      <sz val="9"/>
      <name val="Arial"/>
      <family val="2"/>
    </font>
    <font>
      <sz val="9"/>
      <name val="Arial"/>
      <family val="2"/>
    </font>
    <font>
      <b/>
      <sz val="14"/>
      <name val="Cambria"/>
      <family val="1"/>
      <scheme val="major"/>
    </font>
    <font>
      <b/>
      <sz val="8"/>
      <name val="Arial"/>
      <family val="2"/>
    </font>
    <font>
      <sz val="10"/>
      <name val="Cambria"/>
      <family val="1"/>
      <scheme val="major"/>
    </font>
    <font>
      <b/>
      <sz val="10"/>
      <name val="Cambria"/>
      <family val="1"/>
      <scheme val="major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b/>
      <u/>
      <sz val="10"/>
      <name val="Arial"/>
      <family val="2"/>
    </font>
    <font>
      <u/>
      <sz val="10"/>
      <name val="Arial"/>
      <family val="2"/>
    </font>
    <font>
      <b/>
      <sz val="10"/>
      <name val="Helv"/>
    </font>
    <font>
      <u/>
      <sz val="9"/>
      <name val="Arial"/>
      <family val="2"/>
    </font>
    <font>
      <sz val="10"/>
      <name val="Helv"/>
    </font>
    <font>
      <b/>
      <sz val="11"/>
      <name val="Helv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rgb="FFFF0000"/>
      <name val="Cambria"/>
      <family val="1"/>
      <scheme val="major"/>
    </font>
    <font>
      <sz val="14"/>
      <color theme="1"/>
      <name val="Calibri"/>
      <family val="2"/>
      <scheme val="minor"/>
    </font>
    <font>
      <b/>
      <sz val="13"/>
      <name val="Arial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sz val="12"/>
      <color theme="1"/>
      <name val="Calibri"/>
      <family val="2"/>
    </font>
    <font>
      <sz val="14"/>
      <name val="Calibri"/>
      <family val="2"/>
    </font>
    <font>
      <sz val="14"/>
      <color theme="1"/>
      <name val="Calibri"/>
      <family val="2"/>
    </font>
    <font>
      <sz val="8"/>
      <color theme="1"/>
      <name val="Calibri"/>
      <family val="2"/>
    </font>
    <font>
      <sz val="14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name val="Times New Roman"/>
      <family val="1"/>
    </font>
    <font>
      <b/>
      <sz val="16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3"/>
      <name val="Cambria"/>
      <family val="1"/>
      <scheme val="maj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D9F0"/>
        <bgColor rgb="FFC6D9F0"/>
      </patternFill>
    </fill>
  </fills>
  <borders count="6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/>
      <top/>
      <bottom style="dashed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8"/>
      </left>
      <right style="medium">
        <color indexed="8"/>
      </right>
      <top style="medium">
        <color rgb="FF000000"/>
      </top>
      <bottom style="medium">
        <color rgb="FF000000"/>
      </bottom>
      <diagonal/>
    </border>
    <border>
      <left style="medium">
        <color indexed="8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8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5" fontId="2" fillId="0" borderId="0"/>
  </cellStyleXfs>
  <cellXfs count="255">
    <xf numFmtId="0" fontId="0" fillId="0" borderId="0" xfId="0"/>
    <xf numFmtId="166" fontId="7" fillId="0" borderId="6" xfId="2" applyNumberFormat="1" applyFont="1" applyBorder="1" applyAlignment="1">
      <alignment horizontal="center" vertical="center"/>
    </xf>
    <xf numFmtId="1" fontId="6" fillId="0" borderId="3" xfId="2" applyNumberFormat="1" applyFont="1" applyBorder="1" applyAlignment="1">
      <alignment horizontal="center" vertical="center"/>
    </xf>
    <xf numFmtId="166" fontId="8" fillId="0" borderId="0" xfId="2" applyNumberFormat="1" applyFont="1" applyAlignment="1" applyProtection="1">
      <alignment vertical="center" textRotation="255" wrapText="1"/>
      <protection locked="0"/>
    </xf>
    <xf numFmtId="169" fontId="6" fillId="0" borderId="0" xfId="2" applyNumberFormat="1" applyFont="1" applyAlignment="1">
      <alignment horizontal="center" vertical="center"/>
    </xf>
    <xf numFmtId="169" fontId="6" fillId="0" borderId="17" xfId="2" applyNumberFormat="1" applyFont="1" applyBorder="1" applyAlignment="1">
      <alignment horizontal="center" vertical="center"/>
    </xf>
    <xf numFmtId="166" fontId="7" fillId="0" borderId="2" xfId="2" applyNumberFormat="1" applyFont="1" applyBorder="1" applyAlignment="1">
      <alignment horizontal="center" vertical="center"/>
    </xf>
    <xf numFmtId="0" fontId="21" fillId="0" borderId="0" xfId="0" applyFont="1"/>
    <xf numFmtId="1" fontId="6" fillId="0" borderId="46" xfId="2" applyNumberFormat="1" applyFont="1" applyBorder="1" applyAlignment="1">
      <alignment horizontal="center" vertical="center"/>
    </xf>
    <xf numFmtId="0" fontId="0" fillId="0" borderId="0" xfId="0" applyProtection="1">
      <protection locked="0"/>
    </xf>
    <xf numFmtId="0" fontId="22" fillId="0" borderId="0" xfId="0" applyFont="1" applyProtection="1">
      <protection locked="0"/>
    </xf>
    <xf numFmtId="166" fontId="4" fillId="0" borderId="0" xfId="2" applyNumberFormat="1" applyFont="1" applyProtection="1">
      <protection locked="0"/>
    </xf>
    <xf numFmtId="166" fontId="5" fillId="0" borderId="0" xfId="2" applyNumberFormat="1" applyFont="1" applyProtection="1">
      <protection locked="0"/>
    </xf>
    <xf numFmtId="166" fontId="6" fillId="0" borderId="0" xfId="2" applyNumberFormat="1" applyFont="1" applyAlignment="1" applyProtection="1">
      <alignment horizontal="center" vertical="center"/>
      <protection locked="0"/>
    </xf>
    <xf numFmtId="166" fontId="4" fillId="0" borderId="0" xfId="2" applyNumberFormat="1" applyFont="1" applyAlignment="1" applyProtection="1">
      <alignment horizontal="center"/>
      <protection locked="0"/>
    </xf>
    <xf numFmtId="166" fontId="7" fillId="0" borderId="0" xfId="2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right"/>
      <protection locked="0"/>
    </xf>
    <xf numFmtId="166" fontId="22" fillId="0" borderId="0" xfId="0" applyNumberFormat="1" applyFont="1" applyProtection="1">
      <protection locked="0"/>
    </xf>
    <xf numFmtId="166" fontId="7" fillId="0" borderId="0" xfId="2" applyNumberFormat="1" applyFont="1" applyAlignment="1" applyProtection="1">
      <alignment vertical="center"/>
      <protection locked="0"/>
    </xf>
    <xf numFmtId="166" fontId="6" fillId="0" borderId="0" xfId="2" applyNumberFormat="1" applyFont="1" applyAlignment="1" applyProtection="1">
      <alignment vertical="center"/>
      <protection locked="0"/>
    </xf>
    <xf numFmtId="166" fontId="10" fillId="0" borderId="0" xfId="2" applyNumberFormat="1" applyFont="1" applyAlignment="1" applyProtection="1">
      <alignment vertical="center"/>
      <protection locked="0"/>
    </xf>
    <xf numFmtId="166" fontId="11" fillId="0" borderId="0" xfId="2" quotePrefix="1" applyNumberFormat="1" applyFont="1" applyAlignment="1" applyProtection="1">
      <alignment horizontal="center" vertical="center"/>
      <protection locked="0"/>
    </xf>
    <xf numFmtId="166" fontId="11" fillId="0" borderId="0" xfId="2" applyNumberFormat="1" applyFont="1" applyAlignment="1" applyProtection="1">
      <alignment horizontal="center" vertical="center"/>
      <protection locked="0"/>
    </xf>
    <xf numFmtId="166" fontId="10" fillId="0" borderId="0" xfId="2" applyNumberFormat="1" applyFont="1" applyAlignment="1" applyProtection="1">
      <alignment horizontal="center" vertical="center"/>
      <protection locked="0"/>
    </xf>
    <xf numFmtId="166" fontId="10" fillId="0" borderId="0" xfId="2" quotePrefix="1" applyNumberFormat="1" applyFont="1" applyAlignment="1" applyProtection="1">
      <alignment horizontal="right" vertical="center"/>
      <protection locked="0"/>
    </xf>
    <xf numFmtId="0" fontId="0" fillId="0" borderId="0" xfId="0" applyAlignment="1" applyProtection="1">
      <alignment horizontal="right"/>
      <protection locked="0"/>
    </xf>
    <xf numFmtId="166" fontId="11" fillId="0" borderId="0" xfId="2" applyNumberFormat="1" applyFont="1" applyAlignment="1" applyProtection="1">
      <alignment horizontal="left" vertical="center"/>
      <protection locked="0"/>
    </xf>
    <xf numFmtId="166" fontId="11" fillId="0" borderId="0" xfId="2" applyNumberFormat="1" applyFont="1" applyAlignment="1" applyProtection="1">
      <alignment vertical="center"/>
      <protection locked="0"/>
    </xf>
    <xf numFmtId="166" fontId="7" fillId="0" borderId="0" xfId="2" applyNumberFormat="1" applyFont="1" applyAlignment="1" applyProtection="1">
      <alignment horizontal="left" vertical="center"/>
      <protection locked="0"/>
    </xf>
    <xf numFmtId="166" fontId="6" fillId="0" borderId="26" xfId="2" applyNumberFormat="1" applyFont="1" applyBorder="1" applyAlignment="1" applyProtection="1">
      <alignment horizontal="center" vertical="center"/>
      <protection locked="0"/>
    </xf>
    <xf numFmtId="166" fontId="6" fillId="0" borderId="27" xfId="2" applyNumberFormat="1" applyFont="1" applyBorder="1" applyAlignment="1" applyProtection="1">
      <alignment horizontal="center" vertical="center"/>
      <protection locked="0"/>
    </xf>
    <xf numFmtId="166" fontId="6" fillId="0" borderId="33" xfId="2" applyNumberFormat="1" applyFont="1" applyBorder="1" applyAlignment="1" applyProtection="1">
      <alignment horizontal="center" vertical="center"/>
      <protection locked="0"/>
    </xf>
    <xf numFmtId="166" fontId="6" fillId="0" borderId="41" xfId="2" applyNumberFormat="1" applyFont="1" applyBorder="1" applyAlignment="1" applyProtection="1">
      <alignment horizontal="center" vertical="center"/>
      <protection locked="0"/>
    </xf>
    <xf numFmtId="166" fontId="6" fillId="0" borderId="42" xfId="2" applyNumberFormat="1" applyFont="1" applyBorder="1" applyAlignment="1" applyProtection="1">
      <alignment horizontal="center" vertical="center"/>
      <protection locked="0"/>
    </xf>
    <xf numFmtId="166" fontId="6" fillId="0" borderId="43" xfId="2" applyNumberFormat="1" applyFont="1" applyBorder="1" applyAlignment="1" applyProtection="1">
      <alignment horizontal="center" vertical="center"/>
      <protection locked="0"/>
    </xf>
    <xf numFmtId="166" fontId="6" fillId="0" borderId="38" xfId="2" applyNumberFormat="1" applyFont="1" applyBorder="1" applyAlignment="1" applyProtection="1">
      <alignment horizontal="center" vertical="center"/>
      <protection locked="0"/>
    </xf>
    <xf numFmtId="166" fontId="6" fillId="0" borderId="37" xfId="2" applyNumberFormat="1" applyFont="1" applyBorder="1" applyAlignment="1" applyProtection="1">
      <alignment horizontal="center" vertical="center"/>
      <protection locked="0"/>
    </xf>
    <xf numFmtId="166" fontId="6" fillId="0" borderId="35" xfId="2" applyNumberFormat="1" applyFont="1" applyBorder="1" applyAlignment="1" applyProtection="1">
      <alignment horizontal="center" vertical="center"/>
      <protection locked="0"/>
    </xf>
    <xf numFmtId="0" fontId="6" fillId="0" borderId="36" xfId="2" applyNumberFormat="1" applyFont="1" applyBorder="1" applyAlignment="1" applyProtection="1">
      <alignment horizontal="center" vertical="center"/>
      <protection locked="0"/>
    </xf>
    <xf numFmtId="0" fontId="21" fillId="0" borderId="22" xfId="0" applyFont="1" applyBorder="1" applyAlignment="1" applyProtection="1">
      <alignment horizontal="center" vertical="center" wrapText="1"/>
      <protection locked="0"/>
    </xf>
    <xf numFmtId="0" fontId="0" fillId="0" borderId="14" xfId="0" applyBorder="1" applyProtection="1">
      <protection locked="0"/>
    </xf>
    <xf numFmtId="173" fontId="7" fillId="2" borderId="13" xfId="2" applyNumberFormat="1" applyFont="1" applyFill="1" applyBorder="1" applyAlignment="1" applyProtection="1">
      <alignment horizontal="center" vertical="center" wrapText="1"/>
      <protection locked="0"/>
    </xf>
    <xf numFmtId="173" fontId="7" fillId="2" borderId="8" xfId="2" applyNumberFormat="1" applyFont="1" applyFill="1" applyBorder="1" applyAlignment="1" applyProtection="1">
      <alignment horizontal="center" vertical="center" wrapText="1"/>
      <protection locked="0"/>
    </xf>
    <xf numFmtId="165" fontId="12" fillId="0" borderId="25" xfId="2" applyFont="1" applyBorder="1" applyAlignment="1" applyProtection="1">
      <alignment vertical="center"/>
      <protection locked="0"/>
    </xf>
    <xf numFmtId="166" fontId="13" fillId="0" borderId="0" xfId="2" applyNumberFormat="1" applyFont="1" applyAlignment="1" applyProtection="1">
      <alignment vertical="center"/>
      <protection locked="0"/>
    </xf>
    <xf numFmtId="166" fontId="13" fillId="0" borderId="0" xfId="2" applyNumberFormat="1" applyFont="1" applyAlignment="1" applyProtection="1">
      <alignment horizontal="left" vertical="center"/>
      <protection locked="0"/>
    </xf>
    <xf numFmtId="0" fontId="0" fillId="0" borderId="25" xfId="0" applyBorder="1" applyProtection="1">
      <protection locked="0"/>
    </xf>
    <xf numFmtId="0" fontId="0" fillId="0" borderId="25" xfId="0" applyBorder="1" applyAlignment="1" applyProtection="1">
      <alignment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165" fontId="12" fillId="0" borderId="0" xfId="2" applyFont="1" applyAlignment="1" applyProtection="1">
      <alignment vertical="center"/>
      <protection locked="0"/>
    </xf>
    <xf numFmtId="169" fontId="6" fillId="0" borderId="0" xfId="2" applyNumberFormat="1" applyFon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locked="0"/>
    </xf>
    <xf numFmtId="169" fontId="13" fillId="0" borderId="0" xfId="2" applyNumberFormat="1" applyFont="1" applyAlignment="1" applyProtection="1">
      <alignment horizontal="center" vertical="center"/>
      <protection locked="0"/>
    </xf>
    <xf numFmtId="169" fontId="12" fillId="0" borderId="0" xfId="2" applyNumberFormat="1" applyFont="1" applyAlignment="1" applyProtection="1">
      <alignment vertical="center"/>
      <protection locked="0"/>
    </xf>
    <xf numFmtId="166" fontId="12" fillId="0" borderId="0" xfId="2" applyNumberFormat="1" applyFont="1" applyAlignment="1" applyProtection="1">
      <alignment vertical="center"/>
      <protection locked="0"/>
    </xf>
    <xf numFmtId="39" fontId="13" fillId="0" borderId="0" xfId="2" applyNumberFormat="1" applyFont="1" applyAlignment="1" applyProtection="1">
      <alignment horizontal="center" vertical="center"/>
      <protection locked="0"/>
    </xf>
    <xf numFmtId="39" fontId="13" fillId="0" borderId="0" xfId="2" applyNumberFormat="1" applyFont="1" applyAlignment="1" applyProtection="1">
      <alignment vertical="center"/>
      <protection locked="0"/>
    </xf>
    <xf numFmtId="0" fontId="10" fillId="0" borderId="0" xfId="0" applyFont="1" applyAlignment="1" applyProtection="1">
      <alignment horizontal="center" vertical="center" wrapText="1"/>
      <protection locked="0"/>
    </xf>
    <xf numFmtId="166" fontId="13" fillId="0" borderId="0" xfId="2" applyNumberFormat="1" applyFont="1" applyAlignment="1" applyProtection="1">
      <alignment horizontal="center" vertical="center"/>
      <protection locked="0"/>
    </xf>
    <xf numFmtId="166" fontId="12" fillId="0" borderId="0" xfId="2" applyNumberFormat="1" applyFont="1" applyAlignment="1" applyProtection="1">
      <alignment horizontal="center" vertical="center"/>
      <protection locked="0"/>
    </xf>
    <xf numFmtId="166" fontId="12" fillId="0" borderId="0" xfId="2" applyNumberFormat="1" applyFont="1" applyProtection="1">
      <protection locked="0"/>
    </xf>
    <xf numFmtId="166" fontId="13" fillId="0" borderId="0" xfId="2" applyNumberFormat="1" applyFont="1" applyAlignment="1" applyProtection="1">
      <alignment vertical="center" wrapText="1"/>
      <protection locked="0"/>
    </xf>
    <xf numFmtId="166" fontId="12" fillId="0" borderId="0" xfId="2" applyNumberFormat="1" applyFont="1" applyAlignment="1" applyProtection="1">
      <alignment vertical="center" wrapText="1"/>
      <protection locked="0"/>
    </xf>
    <xf numFmtId="166" fontId="12" fillId="0" borderId="0" xfId="2" applyNumberFormat="1" applyFont="1" applyAlignment="1" applyProtection="1">
      <alignment horizontal="center" vertical="center" wrapText="1"/>
      <protection locked="0"/>
    </xf>
    <xf numFmtId="166" fontId="12" fillId="0" borderId="0" xfId="2" applyNumberFormat="1" applyFont="1" applyAlignment="1" applyProtection="1">
      <alignment horizontal="left" vertical="center" wrapText="1"/>
      <protection locked="0"/>
    </xf>
    <xf numFmtId="166" fontId="13" fillId="0" borderId="0" xfId="2" applyNumberFormat="1" applyFont="1" applyAlignment="1" applyProtection="1">
      <alignment horizontal="left" vertical="center" wrapText="1"/>
      <protection locked="0"/>
    </xf>
    <xf numFmtId="0" fontId="36" fillId="0" borderId="0" xfId="0" applyFont="1" applyAlignment="1" applyProtection="1">
      <alignment horizontal="right"/>
      <protection locked="0"/>
    </xf>
    <xf numFmtId="0" fontId="35" fillId="0" borderId="0" xfId="0" applyFont="1" applyAlignment="1" applyProtection="1">
      <alignment horizontal="right"/>
      <protection locked="0"/>
    </xf>
    <xf numFmtId="166" fontId="14" fillId="0" borderId="0" xfId="2" applyNumberFormat="1" applyFont="1" applyAlignment="1" applyProtection="1">
      <alignment horizontal="center" vertical="center"/>
      <protection locked="0"/>
    </xf>
    <xf numFmtId="0" fontId="25" fillId="0" borderId="0" xfId="0" applyFont="1" applyAlignment="1" applyProtection="1">
      <alignment horizontal="right"/>
      <protection locked="0"/>
    </xf>
    <xf numFmtId="0" fontId="13" fillId="0" borderId="0" xfId="0" applyFont="1" applyProtection="1">
      <protection locked="0"/>
    </xf>
    <xf numFmtId="166" fontId="14" fillId="0" borderId="0" xfId="2" applyNumberFormat="1" applyFont="1" applyAlignment="1" applyProtection="1">
      <alignment horizontal="left" vertical="center"/>
      <protection locked="0"/>
    </xf>
    <xf numFmtId="166" fontId="14" fillId="0" borderId="0" xfId="2" applyNumberFormat="1" applyFont="1" applyAlignment="1" applyProtection="1">
      <alignment vertical="center"/>
      <protection locked="0"/>
    </xf>
    <xf numFmtId="166" fontId="17" fillId="0" borderId="0" xfId="2" quotePrefix="1" applyNumberFormat="1" applyFont="1" applyAlignment="1" applyProtection="1">
      <alignment horizontal="right" vertical="center"/>
      <protection locked="0"/>
    </xf>
    <xf numFmtId="166" fontId="13" fillId="0" borderId="20" xfId="2" applyNumberFormat="1" applyFont="1" applyBorder="1" applyAlignment="1" applyProtection="1">
      <alignment horizontal="center" vertical="center"/>
      <protection locked="0"/>
    </xf>
    <xf numFmtId="166" fontId="12" fillId="0" borderId="20" xfId="2" applyNumberFormat="1" applyFont="1" applyBorder="1" applyAlignment="1" applyProtection="1">
      <alignment vertical="center"/>
      <protection locked="0"/>
    </xf>
    <xf numFmtId="166" fontId="15" fillId="0" borderId="0" xfId="2" applyNumberFormat="1" applyFont="1" applyAlignment="1" applyProtection="1">
      <alignment vertical="center"/>
      <protection locked="0"/>
    </xf>
    <xf numFmtId="166" fontId="15" fillId="0" borderId="0" xfId="2" applyNumberFormat="1" applyFont="1" applyAlignment="1" applyProtection="1">
      <alignment horizontal="center" vertical="center"/>
      <protection locked="0"/>
    </xf>
    <xf numFmtId="166" fontId="16" fillId="0" borderId="0" xfId="2" applyNumberFormat="1" applyFont="1" applyAlignment="1" applyProtection="1">
      <alignment horizontal="center" vertical="center"/>
      <protection locked="0"/>
    </xf>
    <xf numFmtId="166" fontId="16" fillId="0" borderId="0" xfId="2" applyNumberFormat="1" applyFont="1" applyAlignment="1" applyProtection="1">
      <alignment vertical="center"/>
      <protection locked="0"/>
    </xf>
    <xf numFmtId="0" fontId="25" fillId="0" borderId="0" xfId="0" applyFont="1" applyProtection="1">
      <protection locked="0"/>
    </xf>
    <xf numFmtId="172" fontId="13" fillId="0" borderId="20" xfId="2" applyNumberFormat="1" applyFont="1" applyBorder="1" applyAlignment="1" applyProtection="1">
      <alignment horizontal="left" vertical="center"/>
      <protection locked="0"/>
    </xf>
    <xf numFmtId="0" fontId="39" fillId="0" borderId="0" xfId="0" applyFont="1" applyProtection="1">
      <protection locked="0"/>
    </xf>
    <xf numFmtId="0" fontId="39" fillId="0" borderId="0" xfId="0" applyFont="1" applyAlignment="1" applyProtection="1">
      <alignment vertical="center"/>
      <protection locked="0"/>
    </xf>
    <xf numFmtId="0" fontId="25" fillId="0" borderId="0" xfId="0" applyFont="1" applyAlignment="1" applyProtection="1">
      <alignment vertical="center"/>
      <protection locked="0"/>
    </xf>
    <xf numFmtId="0" fontId="25" fillId="0" borderId="0" xfId="0" applyFont="1" applyAlignment="1" applyProtection="1">
      <alignment horizontal="center" vertical="center"/>
      <protection locked="0"/>
    </xf>
    <xf numFmtId="166" fontId="16" fillId="0" borderId="21" xfId="2" applyNumberFormat="1" applyFont="1" applyBorder="1" applyAlignment="1" applyProtection="1">
      <alignment horizontal="center" vertical="center"/>
      <protection locked="0"/>
    </xf>
    <xf numFmtId="166" fontId="16" fillId="0" borderId="21" xfId="2" applyNumberFormat="1" applyFont="1" applyBorder="1" applyAlignment="1" applyProtection="1">
      <alignment vertical="center"/>
      <protection locked="0"/>
    </xf>
    <xf numFmtId="0" fontId="38" fillId="0" borderId="0" xfId="0" applyFont="1" applyProtection="1">
      <protection locked="0"/>
    </xf>
    <xf numFmtId="166" fontId="12" fillId="0" borderId="56" xfId="2" applyNumberFormat="1" applyFont="1" applyBorder="1" applyAlignment="1" applyProtection="1">
      <alignment horizontal="center" vertical="center"/>
      <protection locked="0"/>
    </xf>
    <xf numFmtId="166" fontId="12" fillId="0" borderId="56" xfId="2" applyNumberFormat="1" applyFont="1" applyBorder="1" applyAlignment="1" applyProtection="1">
      <alignment vertical="center"/>
      <protection locked="0"/>
    </xf>
    <xf numFmtId="166" fontId="6" fillId="0" borderId="0" xfId="2" applyNumberFormat="1" applyFont="1" applyAlignment="1" applyProtection="1">
      <alignment horizontal="left" vertical="center"/>
      <protection locked="0"/>
    </xf>
    <xf numFmtId="166" fontId="5" fillId="0" borderId="0" xfId="2" applyNumberFormat="1" applyFont="1" applyAlignment="1" applyProtection="1">
      <alignment horizontal="left" vertical="center"/>
      <protection locked="0"/>
    </xf>
    <xf numFmtId="166" fontId="5" fillId="0" borderId="0" xfId="2" quotePrefix="1" applyNumberFormat="1" applyFont="1" applyAlignment="1" applyProtection="1">
      <alignment horizontal="right" vertical="center"/>
      <protection locked="0"/>
    </xf>
    <xf numFmtId="166" fontId="18" fillId="0" borderId="0" xfId="2" applyNumberFormat="1" applyFont="1" applyAlignment="1" applyProtection="1">
      <alignment vertical="center"/>
      <protection locked="0"/>
    </xf>
    <xf numFmtId="166" fontId="18" fillId="0" borderId="0" xfId="2" applyNumberFormat="1" applyFont="1" applyAlignment="1" applyProtection="1">
      <alignment horizontal="center" vertical="center"/>
      <protection locked="0"/>
    </xf>
    <xf numFmtId="166" fontId="5" fillId="0" borderId="0" xfId="2" applyNumberFormat="1" applyFont="1" applyAlignment="1" applyProtection="1">
      <alignment vertical="center"/>
      <protection locked="0"/>
    </xf>
    <xf numFmtId="166" fontId="17" fillId="0" borderId="0" xfId="2" applyNumberFormat="1" applyFont="1" applyAlignment="1" applyProtection="1">
      <alignment horizontal="left" vertical="center"/>
      <protection locked="0"/>
    </xf>
    <xf numFmtId="166" fontId="12" fillId="0" borderId="0" xfId="2" applyNumberFormat="1" applyFont="1" applyAlignment="1" applyProtection="1">
      <alignment horizontal="left" vertical="center"/>
      <protection locked="0"/>
    </xf>
    <xf numFmtId="0" fontId="0" fillId="0" borderId="0" xfId="0" applyAlignment="1" applyProtection="1">
      <alignment vertical="center"/>
      <protection locked="0"/>
    </xf>
    <xf numFmtId="166" fontId="17" fillId="0" borderId="0" xfId="2" applyNumberFormat="1" applyFont="1" applyAlignment="1" applyProtection="1">
      <alignment vertical="center"/>
      <protection locked="0"/>
    </xf>
    <xf numFmtId="166" fontId="16" fillId="0" borderId="20" xfId="2" applyNumberFormat="1" applyFont="1" applyBorder="1" applyAlignment="1" applyProtection="1">
      <alignment horizontal="center" vertical="center"/>
      <protection locked="0"/>
    </xf>
    <xf numFmtId="166" fontId="16" fillId="0" borderId="20" xfId="2" applyNumberFormat="1" applyFont="1" applyBorder="1" applyAlignment="1" applyProtection="1">
      <alignment vertical="center"/>
      <protection locked="0"/>
    </xf>
    <xf numFmtId="166" fontId="19" fillId="0" borderId="0" xfId="2" applyNumberFormat="1" applyFont="1" applyAlignment="1" applyProtection="1">
      <alignment vertical="center"/>
      <protection locked="0"/>
    </xf>
    <xf numFmtId="0" fontId="38" fillId="0" borderId="0" xfId="0" applyFont="1" applyAlignment="1" applyProtection="1">
      <alignment vertical="center"/>
      <protection locked="0"/>
    </xf>
    <xf numFmtId="0" fontId="0" fillId="0" borderId="0" xfId="0" applyAlignment="1" applyProtection="1">
      <alignment horizontal="left"/>
      <protection locked="0"/>
    </xf>
    <xf numFmtId="166" fontId="16" fillId="0" borderId="57" xfId="2" applyNumberFormat="1" applyFont="1" applyBorder="1" applyAlignment="1" applyProtection="1">
      <alignment horizontal="center" vertical="center"/>
      <protection locked="0"/>
    </xf>
    <xf numFmtId="166" fontId="16" fillId="0" borderId="57" xfId="2" applyNumberFormat="1" applyFont="1" applyBorder="1" applyAlignment="1" applyProtection="1">
      <alignment vertical="center"/>
      <protection locked="0"/>
    </xf>
    <xf numFmtId="166" fontId="4" fillId="0" borderId="0" xfId="2" applyNumberFormat="1" applyFont="1" applyAlignment="1" applyProtection="1">
      <alignment vertical="center"/>
      <protection locked="0"/>
    </xf>
    <xf numFmtId="166" fontId="20" fillId="0" borderId="0" xfId="2" applyNumberFormat="1" applyFont="1" applyAlignment="1" applyProtection="1">
      <alignment horizontal="right" vertical="center"/>
      <protection locked="0"/>
    </xf>
    <xf numFmtId="0" fontId="28" fillId="0" borderId="12" xfId="0" applyFont="1" applyBorder="1" applyAlignment="1" applyProtection="1">
      <alignment vertical="center"/>
      <protection locked="0"/>
    </xf>
    <xf numFmtId="0" fontId="28" fillId="0" borderId="25" xfId="0" applyFont="1" applyBorder="1" applyAlignment="1" applyProtection="1">
      <alignment vertical="center"/>
      <protection locked="0"/>
    </xf>
    <xf numFmtId="0" fontId="28" fillId="0" borderId="7" xfId="0" applyFont="1" applyBorder="1" applyAlignment="1" applyProtection="1">
      <alignment vertical="center"/>
      <protection locked="0"/>
    </xf>
    <xf numFmtId="0" fontId="25" fillId="0" borderId="5" xfId="0" applyFont="1" applyBorder="1" applyProtection="1">
      <protection locked="0"/>
    </xf>
    <xf numFmtId="0" fontId="31" fillId="0" borderId="5" xfId="0" applyFont="1" applyBorder="1" applyProtection="1">
      <protection locked="0"/>
    </xf>
    <xf numFmtId="0" fontId="25" fillId="0" borderId="8" xfId="0" applyFont="1" applyBorder="1" applyProtection="1">
      <protection locked="0"/>
    </xf>
    <xf numFmtId="0" fontId="25" fillId="0" borderId="15" xfId="0" applyFont="1" applyBorder="1" applyAlignment="1" applyProtection="1">
      <alignment horizontal="center"/>
      <protection locked="0"/>
    </xf>
    <xf numFmtId="0" fontId="25" fillId="0" borderId="0" xfId="0" applyFont="1" applyAlignment="1" applyProtection="1">
      <alignment horizontal="center"/>
      <protection locked="0"/>
    </xf>
    <xf numFmtId="0" fontId="25" fillId="0" borderId="16" xfId="0" applyFont="1" applyBorder="1" applyAlignment="1" applyProtection="1">
      <alignment horizontal="center"/>
      <protection locked="0"/>
    </xf>
    <xf numFmtId="0" fontId="0" fillId="0" borderId="47" xfId="0" applyBorder="1" applyProtection="1">
      <protection locked="0"/>
    </xf>
    <xf numFmtId="0" fontId="28" fillId="0" borderId="48" xfId="0" applyFont="1" applyBorder="1" applyAlignment="1" applyProtection="1">
      <alignment vertical="center"/>
      <protection locked="0"/>
    </xf>
    <xf numFmtId="0" fontId="28" fillId="0" borderId="49" xfId="0" applyFont="1" applyBorder="1" applyAlignment="1" applyProtection="1">
      <alignment vertic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32" fillId="3" borderId="24" xfId="0" applyFont="1" applyFill="1" applyBorder="1" applyAlignment="1" applyProtection="1">
      <alignment horizontal="center" vertical="center"/>
      <protection locked="0"/>
    </xf>
    <xf numFmtId="0" fontId="32" fillId="3" borderId="23" xfId="0" applyFont="1" applyFill="1" applyBorder="1" applyAlignment="1" applyProtection="1">
      <alignment horizontal="center" vertical="center"/>
      <protection locked="0"/>
    </xf>
    <xf numFmtId="0" fontId="33" fillId="3" borderId="52" xfId="0" applyFont="1" applyFill="1" applyBorder="1" applyAlignment="1" applyProtection="1">
      <alignment horizontal="center" vertical="center" wrapText="1"/>
      <protection locked="0"/>
    </xf>
    <xf numFmtId="0" fontId="33" fillId="3" borderId="53" xfId="0" applyFont="1" applyFill="1" applyBorder="1" applyAlignment="1" applyProtection="1">
      <alignment horizontal="center" vertical="center" wrapText="1"/>
      <protection locked="0"/>
    </xf>
    <xf numFmtId="0" fontId="32" fillId="0" borderId="52" xfId="0" applyFont="1" applyBorder="1" applyAlignment="1" applyProtection="1">
      <alignment horizontal="center" vertical="center"/>
      <protection locked="0"/>
    </xf>
    <xf numFmtId="0" fontId="32" fillId="0" borderId="54" xfId="0" applyFont="1" applyBorder="1" applyAlignment="1" applyProtection="1">
      <alignment vertical="center"/>
      <protection locked="0"/>
    </xf>
    <xf numFmtId="0" fontId="32" fillId="0" borderId="53" xfId="0" applyFont="1" applyBorder="1" applyAlignment="1" applyProtection="1">
      <alignment vertical="center"/>
      <protection locked="0"/>
    </xf>
    <xf numFmtId="2" fontId="7" fillId="0" borderId="9" xfId="2" applyNumberFormat="1" applyFont="1" applyBorder="1" applyAlignment="1">
      <alignment horizontal="center" vertical="center"/>
    </xf>
    <xf numFmtId="2" fontId="7" fillId="0" borderId="45" xfId="2" applyNumberFormat="1" applyFont="1" applyBorder="1" applyAlignment="1">
      <alignment horizontal="center" vertical="center"/>
    </xf>
    <xf numFmtId="2" fontId="7" fillId="0" borderId="10" xfId="2" applyNumberFormat="1" applyFont="1" applyBorder="1" applyAlignment="1">
      <alignment horizontal="center" vertical="center"/>
    </xf>
    <xf numFmtId="169" fontId="13" fillId="0" borderId="0" xfId="1" quotePrefix="1" applyNumberFormat="1" applyFont="1" applyAlignment="1" applyProtection="1">
      <alignment horizontal="center" vertical="center"/>
    </xf>
    <xf numFmtId="169" fontId="13" fillId="0" borderId="18" xfId="1" quotePrefix="1" applyNumberFormat="1" applyFont="1" applyBorder="1" applyAlignment="1" applyProtection="1">
      <alignment horizontal="center" vertical="center"/>
    </xf>
    <xf numFmtId="170" fontId="3" fillId="0" borderId="19" xfId="1" quotePrefix="1" applyNumberFormat="1" applyFont="1" applyBorder="1" applyAlignment="1" applyProtection="1">
      <alignment horizontal="center" vertical="center"/>
    </xf>
    <xf numFmtId="171" fontId="0" fillId="0" borderId="12" xfId="0" applyNumberFormat="1" applyBorder="1" applyAlignment="1">
      <alignment horizontal="center" vertical="center"/>
    </xf>
    <xf numFmtId="173" fontId="0" fillId="0" borderId="14" xfId="0" applyNumberFormat="1" applyBorder="1" applyAlignment="1">
      <alignment horizontal="center" vertical="center"/>
    </xf>
    <xf numFmtId="173" fontId="0" fillId="0" borderId="14" xfId="0" applyNumberFormat="1" applyBorder="1" applyAlignment="1">
      <alignment horizontal="center" vertical="center" wrapText="1"/>
    </xf>
    <xf numFmtId="166" fontId="0" fillId="0" borderId="7" xfId="0" applyNumberFormat="1" applyBorder="1" applyAlignment="1">
      <alignment horizontal="center" vertical="center"/>
    </xf>
    <xf numFmtId="173" fontId="0" fillId="0" borderId="9" xfId="0" applyNumberFormat="1" applyBorder="1" applyAlignment="1">
      <alignment horizontal="center" vertical="center"/>
    </xf>
    <xf numFmtId="173" fontId="0" fillId="0" borderId="9" xfId="0" applyNumberFormat="1" applyBorder="1" applyAlignment="1">
      <alignment horizontal="center" vertical="center" wrapText="1"/>
    </xf>
    <xf numFmtId="173" fontId="7" fillId="2" borderId="14" xfId="2" applyNumberFormat="1" applyFont="1" applyFill="1" applyBorder="1" applyAlignment="1" applyProtection="1">
      <alignment horizontal="center" vertical="center" wrapText="1"/>
      <protection locked="0"/>
    </xf>
    <xf numFmtId="173" fontId="7" fillId="2" borderId="9" xfId="2" applyNumberFormat="1" applyFont="1" applyFill="1" applyBorder="1" applyAlignment="1" applyProtection="1">
      <alignment horizontal="center" vertical="center" wrapText="1"/>
      <protection locked="0"/>
    </xf>
    <xf numFmtId="166" fontId="39" fillId="0" borderId="0" xfId="0" applyNumberFormat="1" applyFont="1" applyProtection="1">
      <protection locked="0"/>
    </xf>
    <xf numFmtId="0" fontId="0" fillId="0" borderId="10" xfId="0" applyBorder="1" applyProtection="1">
      <protection locked="0"/>
    </xf>
    <xf numFmtId="175" fontId="7" fillId="0" borderId="11" xfId="2" applyNumberFormat="1" applyFont="1" applyBorder="1" applyAlignment="1" applyProtection="1">
      <alignment horizontal="center" vertical="center"/>
      <protection locked="0"/>
    </xf>
    <xf numFmtId="175" fontId="7" fillId="0" borderId="55" xfId="2" applyNumberFormat="1" applyFont="1" applyBorder="1" applyAlignment="1" applyProtection="1">
      <alignment horizontal="center" vertical="center"/>
      <protection locked="0"/>
    </xf>
    <xf numFmtId="0" fontId="21" fillId="0" borderId="14" xfId="0" applyFont="1" applyBorder="1" applyAlignment="1" applyProtection="1">
      <alignment horizontal="center" vertical="center"/>
      <protection locked="0"/>
    </xf>
    <xf numFmtId="0" fontId="21" fillId="0" borderId="10" xfId="0" applyFont="1" applyBorder="1" applyAlignment="1" applyProtection="1">
      <alignment horizontal="center" vertical="center"/>
      <protection locked="0"/>
    </xf>
    <xf numFmtId="0" fontId="21" fillId="0" borderId="9" xfId="0" applyFont="1" applyBorder="1" applyAlignment="1" applyProtection="1">
      <alignment horizontal="center" vertical="center"/>
      <protection locked="0"/>
    </xf>
    <xf numFmtId="0" fontId="21" fillId="0" borderId="14" xfId="0" applyFont="1" applyBorder="1" applyAlignment="1" applyProtection="1">
      <alignment horizontal="center" vertical="center" wrapText="1"/>
      <protection locked="0"/>
    </xf>
    <xf numFmtId="0" fontId="21" fillId="0" borderId="10" xfId="0" applyFont="1" applyBorder="1" applyAlignment="1" applyProtection="1">
      <alignment horizontal="center" vertical="center" wrapText="1"/>
      <protection locked="0"/>
    </xf>
    <xf numFmtId="0" fontId="21" fillId="0" borderId="9" xfId="0" applyFont="1" applyBorder="1" applyAlignment="1" applyProtection="1">
      <alignment horizontal="center" vertical="center" wrapText="1"/>
      <protection locked="0"/>
    </xf>
    <xf numFmtId="0" fontId="23" fillId="0" borderId="0" xfId="0" applyFont="1" applyAlignment="1" applyProtection="1">
      <alignment horizontal="center"/>
      <protection locked="0"/>
    </xf>
    <xf numFmtId="2" fontId="7" fillId="0" borderId="58" xfId="2" applyNumberFormat="1" applyFont="1" applyBorder="1" applyAlignment="1">
      <alignment horizontal="center" vertical="center"/>
    </xf>
    <xf numFmtId="2" fontId="7" fillId="0" borderId="9" xfId="2" applyNumberFormat="1" applyFont="1" applyBorder="1" applyAlignment="1">
      <alignment horizontal="center" vertical="center"/>
    </xf>
    <xf numFmtId="166" fontId="6" fillId="0" borderId="39" xfId="2" applyNumberFormat="1" applyFont="1" applyBorder="1" applyAlignment="1" applyProtection="1">
      <alignment horizontal="center" vertical="center" wrapText="1"/>
      <protection locked="0"/>
    </xf>
    <xf numFmtId="166" fontId="6" fillId="0" borderId="40" xfId="2" applyNumberFormat="1" applyFont="1" applyBorder="1" applyAlignment="1" applyProtection="1">
      <alignment horizontal="center" vertical="center" wrapText="1"/>
      <protection locked="0"/>
    </xf>
    <xf numFmtId="166" fontId="6" fillId="0" borderId="44" xfId="2" applyNumberFormat="1" applyFont="1" applyBorder="1" applyAlignment="1" applyProtection="1">
      <alignment horizontal="center" vertical="center" wrapText="1"/>
      <protection locked="0"/>
    </xf>
    <xf numFmtId="0" fontId="21" fillId="0" borderId="12" xfId="0" applyFont="1" applyBorder="1" applyAlignment="1" applyProtection="1">
      <alignment horizontal="center" vertical="center" wrapText="1"/>
      <protection locked="0"/>
    </xf>
    <xf numFmtId="0" fontId="21" fillId="0" borderId="13" xfId="0" applyFont="1" applyBorder="1" applyAlignment="1" applyProtection="1">
      <alignment horizontal="center" vertical="center" wrapText="1"/>
      <protection locked="0"/>
    </xf>
    <xf numFmtId="0" fontId="21" fillId="0" borderId="15" xfId="0" applyFont="1" applyBorder="1" applyAlignment="1" applyProtection="1">
      <alignment horizontal="center" vertical="center" wrapText="1"/>
      <protection locked="0"/>
    </xf>
    <xf numFmtId="0" fontId="21" fillId="0" borderId="16" xfId="0" applyFont="1" applyBorder="1" applyAlignment="1" applyProtection="1">
      <alignment horizontal="center" vertical="center" wrapText="1"/>
      <protection locked="0"/>
    </xf>
    <xf numFmtId="166" fontId="3" fillId="0" borderId="0" xfId="2" applyNumberFormat="1" applyFont="1" applyAlignment="1" applyProtection="1">
      <alignment horizontal="center" vertical="center"/>
      <protection locked="0"/>
    </xf>
    <xf numFmtId="166" fontId="6" fillId="0" borderId="1" xfId="2" applyNumberFormat="1" applyFont="1" applyBorder="1" applyAlignment="1" applyProtection="1">
      <alignment horizontal="center" vertical="center" wrapText="1"/>
      <protection locked="0"/>
    </xf>
    <xf numFmtId="166" fontId="6" fillId="0" borderId="0" xfId="2" applyNumberFormat="1" applyFont="1" applyAlignment="1" applyProtection="1">
      <alignment horizontal="center" vertical="center" wrapText="1"/>
      <protection locked="0"/>
    </xf>
    <xf numFmtId="166" fontId="6" fillId="0" borderId="30" xfId="2" applyNumberFormat="1" applyFont="1" applyBorder="1" applyAlignment="1" applyProtection="1">
      <alignment horizontal="center" vertical="center" wrapText="1"/>
      <protection locked="0"/>
    </xf>
    <xf numFmtId="166" fontId="6" fillId="0" borderId="32" xfId="2" applyNumberFormat="1" applyFont="1" applyBorder="1" applyAlignment="1" applyProtection="1">
      <alignment horizontal="center" vertical="center" wrapText="1"/>
      <protection locked="0"/>
    </xf>
    <xf numFmtId="166" fontId="6" fillId="0" borderId="33" xfId="2" applyNumberFormat="1" applyFont="1" applyBorder="1" applyAlignment="1" applyProtection="1">
      <alignment horizontal="center" vertical="center" wrapText="1"/>
      <protection locked="0"/>
    </xf>
    <xf numFmtId="166" fontId="6" fillId="0" borderId="34" xfId="2" applyNumberFormat="1" applyFont="1" applyBorder="1" applyAlignment="1" applyProtection="1">
      <alignment horizontal="center" vertical="center" wrapText="1"/>
      <protection locked="0"/>
    </xf>
    <xf numFmtId="166" fontId="6" fillId="0" borderId="29" xfId="2" applyNumberFormat="1" applyFont="1" applyBorder="1" applyAlignment="1" applyProtection="1">
      <alignment horizontal="center" vertical="center" wrapText="1"/>
      <protection locked="0"/>
    </xf>
    <xf numFmtId="166" fontId="6" fillId="0" borderId="28" xfId="2" applyNumberFormat="1" applyFont="1" applyBorder="1" applyAlignment="1" applyProtection="1">
      <alignment horizontal="center" vertical="center" wrapText="1"/>
      <protection locked="0"/>
    </xf>
    <xf numFmtId="166" fontId="6" fillId="0" borderId="31" xfId="2" applyNumberFormat="1" applyFont="1" applyBorder="1" applyAlignment="1" applyProtection="1">
      <alignment horizontal="center" vertical="center"/>
      <protection locked="0"/>
    </xf>
    <xf numFmtId="166" fontId="6" fillId="0" borderId="32" xfId="2" applyNumberFormat="1" applyFont="1" applyBorder="1" applyAlignment="1" applyProtection="1">
      <alignment horizontal="center" vertical="center"/>
      <protection locked="0"/>
    </xf>
    <xf numFmtId="166" fontId="6" fillId="0" borderId="0" xfId="2" applyNumberFormat="1" applyFont="1" applyAlignment="1" applyProtection="1">
      <alignment horizontal="center" vertical="center"/>
      <protection locked="0"/>
    </xf>
    <xf numFmtId="166" fontId="6" fillId="0" borderId="29" xfId="2" applyNumberFormat="1" applyFont="1" applyBorder="1" applyAlignment="1" applyProtection="1">
      <alignment horizontal="center" vertical="center"/>
      <protection locked="0"/>
    </xf>
    <xf numFmtId="166" fontId="7" fillId="0" borderId="0" xfId="2" applyNumberFormat="1" applyFont="1" applyAlignment="1" applyProtection="1">
      <alignment horizontal="center" vertical="center"/>
      <protection locked="0"/>
    </xf>
    <xf numFmtId="49" fontId="24" fillId="0" borderId="0" xfId="2" applyNumberFormat="1" applyFont="1" applyAlignment="1" applyProtection="1">
      <alignment horizontal="center" vertical="center"/>
      <protection locked="0"/>
    </xf>
    <xf numFmtId="166" fontId="9" fillId="0" borderId="0" xfId="2" applyNumberFormat="1" applyFont="1" applyAlignment="1" applyProtection="1">
      <alignment horizontal="center" vertical="center"/>
      <protection locked="0"/>
    </xf>
    <xf numFmtId="49" fontId="6" fillId="0" borderId="9" xfId="2" applyNumberFormat="1" applyFont="1" applyBorder="1" applyAlignment="1" applyProtection="1">
      <alignment horizontal="center" vertical="center" wrapText="1"/>
      <protection locked="0"/>
    </xf>
    <xf numFmtId="49" fontId="6" fillId="0" borderId="22" xfId="2" applyNumberFormat="1" applyFont="1" applyBorder="1" applyAlignment="1" applyProtection="1">
      <alignment horizontal="center" vertical="center" wrapText="1"/>
      <protection locked="0"/>
    </xf>
    <xf numFmtId="2" fontId="7" fillId="0" borderId="59" xfId="2" applyNumberFormat="1" applyFont="1" applyBorder="1" applyAlignment="1">
      <alignment horizontal="center" vertical="center"/>
    </xf>
    <xf numFmtId="2" fontId="7" fillId="0" borderId="45" xfId="2" applyNumberFormat="1" applyFont="1" applyBorder="1" applyAlignment="1">
      <alignment horizontal="center" vertical="center"/>
    </xf>
    <xf numFmtId="166" fontId="11" fillId="0" borderId="60" xfId="2" applyNumberFormat="1" applyFont="1" applyBorder="1" applyAlignment="1" applyProtection="1">
      <alignment horizontal="center" vertical="center" wrapText="1"/>
      <protection locked="0"/>
    </xf>
    <xf numFmtId="166" fontId="11" fillId="0" borderId="61" xfId="2" applyNumberFormat="1" applyFont="1" applyBorder="1" applyAlignment="1" applyProtection="1">
      <alignment horizontal="center" vertical="center" wrapText="1"/>
      <protection locked="0"/>
    </xf>
    <xf numFmtId="0" fontId="0" fillId="0" borderId="14" xfId="0" applyBorder="1" applyAlignment="1" applyProtection="1">
      <alignment horizontal="center" vertical="center" wrapText="1"/>
      <protection locked="0"/>
    </xf>
    <xf numFmtId="0" fontId="0" fillId="0" borderId="10" xfId="0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 wrapText="1"/>
      <protection locked="0"/>
    </xf>
    <xf numFmtId="166" fontId="40" fillId="0" borderId="27" xfId="2" applyNumberFormat="1" applyFont="1" applyBorder="1" applyAlignment="1" applyProtection="1">
      <alignment horizontal="center" vertical="center" wrapText="1"/>
      <protection locked="0"/>
    </xf>
    <xf numFmtId="166" fontId="40" fillId="0" borderId="61" xfId="2" applyNumberFormat="1" applyFont="1" applyBorder="1" applyAlignment="1" applyProtection="1">
      <alignment horizontal="center" vertical="center" wrapText="1"/>
      <protection locked="0"/>
    </xf>
    <xf numFmtId="166" fontId="6" fillId="0" borderId="2" xfId="2" applyNumberFormat="1" applyFont="1" applyBorder="1" applyAlignment="1" applyProtection="1">
      <alignment horizontal="center" vertical="center"/>
      <protection locked="0"/>
    </xf>
    <xf numFmtId="166" fontId="6" fillId="0" borderId="16" xfId="2" applyNumberFormat="1" applyFont="1" applyBorder="1" applyAlignment="1" applyProtection="1">
      <alignment horizontal="center" vertical="center"/>
      <protection locked="0"/>
    </xf>
    <xf numFmtId="166" fontId="6" fillId="0" borderId="4" xfId="2" applyNumberFormat="1" applyFont="1" applyBorder="1" applyAlignment="1" applyProtection="1">
      <alignment horizontal="center" vertical="center"/>
      <protection locked="0"/>
    </xf>
    <xf numFmtId="166" fontId="6" fillId="0" borderId="5" xfId="2" applyNumberFormat="1" applyFont="1" applyBorder="1" applyAlignment="1" applyProtection="1">
      <alignment horizontal="center" vertical="center"/>
      <protection locked="0"/>
    </xf>
    <xf numFmtId="166" fontId="6" fillId="0" borderId="8" xfId="2" applyNumberFormat="1" applyFont="1" applyBorder="1" applyAlignment="1" applyProtection="1">
      <alignment horizontal="center" vertical="center"/>
      <protection locked="0"/>
    </xf>
    <xf numFmtId="174" fontId="7" fillId="0" borderId="58" xfId="2" applyNumberFormat="1" applyFont="1" applyBorder="1" applyAlignment="1" applyProtection="1">
      <alignment horizontal="center" vertical="center"/>
      <protection locked="0"/>
    </xf>
    <xf numFmtId="174" fontId="7" fillId="0" borderId="9" xfId="2" applyNumberFormat="1" applyFont="1" applyBorder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horizontal="center" vertical="center" wrapText="1"/>
      <protection locked="0"/>
    </xf>
    <xf numFmtId="0" fontId="21" fillId="0" borderId="14" xfId="0" applyFont="1" applyBorder="1" applyAlignment="1" applyProtection="1">
      <alignment horizontal="center"/>
      <protection locked="0"/>
    </xf>
    <xf numFmtId="0" fontId="21" fillId="0" borderId="10" xfId="0" applyFont="1" applyBorder="1" applyAlignment="1" applyProtection="1">
      <alignment horizontal="center"/>
      <protection locked="0"/>
    </xf>
    <xf numFmtId="0" fontId="21" fillId="0" borderId="9" xfId="0" applyFont="1" applyBorder="1" applyAlignment="1" applyProtection="1">
      <alignment horizontal="center"/>
      <protection locked="0"/>
    </xf>
    <xf numFmtId="169" fontId="13" fillId="0" borderId="0" xfId="2" applyNumberFormat="1" applyFont="1" applyAlignment="1" applyProtection="1">
      <alignment horizontal="left" vertical="center"/>
      <protection locked="0"/>
    </xf>
    <xf numFmtId="166" fontId="12" fillId="0" borderId="0" xfId="2" applyNumberFormat="1" applyFont="1" applyAlignment="1" applyProtection="1">
      <alignment horizontal="left" vertical="center" wrapText="1"/>
      <protection locked="0"/>
    </xf>
    <xf numFmtId="0" fontId="38" fillId="0" borderId="0" xfId="0" applyFont="1" applyProtection="1">
      <protection locked="0"/>
    </xf>
    <xf numFmtId="0" fontId="26" fillId="0" borderId="0" xfId="0" applyFont="1" applyAlignment="1" applyProtection="1">
      <alignment horizontal="center" vertical="center" wrapText="1"/>
      <protection locked="0"/>
    </xf>
    <xf numFmtId="166" fontId="13" fillId="0" borderId="0" xfId="2" applyNumberFormat="1" applyFont="1" applyAlignment="1">
      <alignment horizontal="left" vertical="center"/>
    </xf>
    <xf numFmtId="0" fontId="39" fillId="0" borderId="0" xfId="0" applyFont="1" applyAlignment="1" applyProtection="1">
      <alignment horizontal="center"/>
      <protection locked="0"/>
    </xf>
    <xf numFmtId="166" fontId="13" fillId="0" borderId="20" xfId="2" applyNumberFormat="1" applyFont="1" applyBorder="1" applyAlignment="1">
      <alignment horizontal="left" vertical="center"/>
    </xf>
    <xf numFmtId="166" fontId="39" fillId="0" borderId="0" xfId="0" applyNumberFormat="1" applyFont="1" applyAlignment="1">
      <alignment horizontal="left" vertical="center"/>
    </xf>
    <xf numFmtId="166" fontId="39" fillId="0" borderId="0" xfId="0" applyNumberFormat="1" applyFont="1" applyAlignment="1">
      <alignment horizontal="left"/>
    </xf>
    <xf numFmtId="0" fontId="39" fillId="0" borderId="0" xfId="0" applyFont="1" applyAlignment="1">
      <alignment horizontal="left" vertical="center"/>
    </xf>
    <xf numFmtId="0" fontId="25" fillId="0" borderId="0" xfId="0" applyFont="1" applyProtection="1">
      <protection locked="0"/>
    </xf>
    <xf numFmtId="0" fontId="34" fillId="0" borderId="0" xfId="0" applyFont="1" applyProtection="1">
      <protection locked="0"/>
    </xf>
    <xf numFmtId="0" fontId="28" fillId="3" borderId="50" xfId="0" applyFont="1" applyFill="1" applyBorder="1" applyAlignment="1" applyProtection="1">
      <alignment horizontal="center" vertical="center"/>
      <protection locked="0"/>
    </xf>
    <xf numFmtId="0" fontId="28" fillId="3" borderId="51" xfId="0" applyFont="1" applyFill="1" applyBorder="1" applyAlignment="1" applyProtection="1">
      <alignment horizontal="center" vertical="center"/>
      <protection locked="0"/>
    </xf>
    <xf numFmtId="0" fontId="32" fillId="3" borderId="12" xfId="0" applyFont="1" applyFill="1" applyBorder="1" applyAlignment="1" applyProtection="1">
      <alignment horizontal="center" vertical="center" wrapText="1"/>
      <protection locked="0"/>
    </xf>
    <xf numFmtId="0" fontId="32" fillId="3" borderId="25" xfId="0" applyFont="1" applyFill="1" applyBorder="1" applyAlignment="1" applyProtection="1">
      <alignment horizontal="center" vertical="center" wrapText="1"/>
      <protection locked="0"/>
    </xf>
    <xf numFmtId="0" fontId="32" fillId="3" borderId="13" xfId="0" applyFont="1" applyFill="1" applyBorder="1" applyAlignment="1" applyProtection="1">
      <alignment horizontal="center" vertical="center" wrapText="1"/>
      <protection locked="0"/>
    </xf>
    <xf numFmtId="0" fontId="32" fillId="3" borderId="7" xfId="0" applyFont="1" applyFill="1" applyBorder="1" applyAlignment="1" applyProtection="1">
      <alignment horizontal="center" vertical="center" wrapText="1"/>
      <protection locked="0"/>
    </xf>
    <xf numFmtId="0" fontId="32" fillId="3" borderId="5" xfId="0" applyFont="1" applyFill="1" applyBorder="1" applyAlignment="1" applyProtection="1">
      <alignment horizontal="center" vertical="center" wrapText="1"/>
      <protection locked="0"/>
    </xf>
    <xf numFmtId="0" fontId="32" fillId="3" borderId="8" xfId="0" applyFont="1" applyFill="1" applyBorder="1" applyAlignment="1" applyProtection="1">
      <alignment horizontal="center" vertical="center" wrapText="1"/>
      <protection locked="0"/>
    </xf>
    <xf numFmtId="0" fontId="32" fillId="3" borderId="15" xfId="0" applyFont="1" applyFill="1" applyBorder="1" applyAlignment="1" applyProtection="1">
      <alignment horizontal="center" vertical="center" wrapText="1"/>
      <protection locked="0"/>
    </xf>
    <xf numFmtId="0" fontId="32" fillId="3" borderId="0" xfId="0" applyFont="1" applyFill="1" applyAlignment="1" applyProtection="1">
      <alignment horizontal="center" vertical="center" wrapText="1"/>
      <protection locked="0"/>
    </xf>
    <xf numFmtId="166" fontId="13" fillId="0" borderId="0" xfId="2" applyNumberFormat="1" applyFont="1" applyAlignment="1" applyProtection="1">
      <alignment horizontal="center" vertical="center"/>
      <protection locked="0"/>
    </xf>
    <xf numFmtId="0" fontId="27" fillId="0" borderId="47" xfId="0" applyFont="1" applyBorder="1" applyAlignment="1" applyProtection="1">
      <alignment horizontal="center" vertical="center"/>
      <protection locked="0"/>
    </xf>
    <xf numFmtId="0" fontId="27" fillId="0" borderId="48" xfId="0" applyFont="1" applyBorder="1" applyAlignment="1" applyProtection="1">
      <alignment horizontal="center" vertical="center"/>
      <protection locked="0"/>
    </xf>
    <xf numFmtId="0" fontId="27" fillId="0" borderId="49" xfId="0" applyFont="1" applyBorder="1" applyAlignment="1" applyProtection="1">
      <alignment horizontal="center" vertical="center"/>
      <protection locked="0"/>
    </xf>
    <xf numFmtId="0" fontId="27" fillId="3" borderId="47" xfId="0" applyFont="1" applyFill="1" applyBorder="1" applyAlignment="1" applyProtection="1">
      <alignment horizontal="center" vertical="center"/>
      <protection locked="0"/>
    </xf>
    <xf numFmtId="0" fontId="27" fillId="3" borderId="48" xfId="0" applyFont="1" applyFill="1" applyBorder="1" applyAlignment="1" applyProtection="1">
      <alignment horizontal="center" vertical="center"/>
      <protection locked="0"/>
    </xf>
    <xf numFmtId="0" fontId="27" fillId="3" borderId="49" xfId="0" applyFont="1" applyFill="1" applyBorder="1" applyAlignment="1" applyProtection="1">
      <alignment horizontal="center" vertical="center"/>
      <protection locked="0"/>
    </xf>
    <xf numFmtId="166" fontId="29" fillId="0" borderId="25" xfId="0" applyNumberFormat="1" applyFont="1" applyBorder="1" applyAlignment="1">
      <alignment horizontal="left" vertical="center"/>
    </xf>
    <xf numFmtId="0" fontId="29" fillId="0" borderId="25" xfId="0" applyFont="1" applyBorder="1" applyAlignment="1">
      <alignment horizontal="left" vertical="center"/>
    </xf>
    <xf numFmtId="0" fontId="29" fillId="0" borderId="13" xfId="0" applyFont="1" applyBorder="1" applyAlignment="1">
      <alignment horizontal="left" vertical="center"/>
    </xf>
    <xf numFmtId="0" fontId="30" fillId="0" borderId="47" xfId="0" applyFont="1" applyBorder="1" applyAlignment="1" applyProtection="1">
      <alignment horizontal="center" vertical="center" wrapText="1"/>
      <protection locked="0"/>
    </xf>
    <xf numFmtId="0" fontId="30" fillId="0" borderId="48" xfId="0" applyFont="1" applyBorder="1" applyAlignment="1" applyProtection="1">
      <alignment horizontal="center" vertical="center" wrapText="1"/>
      <protection locked="0"/>
    </xf>
    <xf numFmtId="0" fontId="30" fillId="0" borderId="49" xfId="0" applyFont="1" applyBorder="1" applyAlignment="1" applyProtection="1">
      <alignment horizontal="center" vertical="center" wrapText="1"/>
      <protection locked="0"/>
    </xf>
    <xf numFmtId="0" fontId="32" fillId="0" borderId="47" xfId="0" applyFont="1" applyBorder="1" applyAlignment="1" applyProtection="1">
      <alignment horizontal="center" vertical="center"/>
      <protection locked="0"/>
    </xf>
    <xf numFmtId="0" fontId="32" fillId="0" borderId="48" xfId="0" applyFont="1" applyBorder="1" applyAlignment="1" applyProtection="1">
      <alignment horizontal="center" vertical="center"/>
      <protection locked="0"/>
    </xf>
    <xf numFmtId="0" fontId="32" fillId="0" borderId="49" xfId="0" applyFont="1" applyBorder="1" applyAlignment="1" applyProtection="1">
      <alignment horizontal="center" vertical="center"/>
      <protection locked="0"/>
    </xf>
    <xf numFmtId="0" fontId="28" fillId="0" borderId="22" xfId="0" applyFont="1" applyBorder="1" applyAlignment="1" applyProtection="1">
      <alignment horizontal="center" vertical="center"/>
      <protection locked="0"/>
    </xf>
    <xf numFmtId="0" fontId="32" fillId="0" borderId="47" xfId="0" applyFont="1" applyBorder="1" applyAlignment="1" applyProtection="1">
      <alignment horizontal="center" vertical="center" wrapText="1"/>
      <protection locked="0"/>
    </xf>
    <xf numFmtId="0" fontId="32" fillId="0" borderId="48" xfId="0" applyFont="1" applyBorder="1" applyAlignment="1" applyProtection="1">
      <alignment horizontal="center" vertical="center" wrapText="1"/>
      <protection locked="0"/>
    </xf>
    <xf numFmtId="0" fontId="32" fillId="0" borderId="49" xfId="0" applyFont="1" applyBorder="1" applyAlignment="1" applyProtection="1">
      <alignment horizontal="center" vertical="center" wrapText="1"/>
      <protection locked="0"/>
    </xf>
    <xf numFmtId="0" fontId="27" fillId="0" borderId="47" xfId="0" applyFont="1" applyBorder="1" applyAlignment="1" applyProtection="1">
      <alignment horizontal="center" vertical="center" wrapText="1"/>
      <protection locked="0"/>
    </xf>
    <xf numFmtId="0" fontId="27" fillId="0" borderId="48" xfId="0" applyFont="1" applyBorder="1" applyAlignment="1" applyProtection="1">
      <alignment horizontal="center" vertical="center" wrapText="1"/>
      <protection locked="0"/>
    </xf>
    <xf numFmtId="0" fontId="27" fillId="0" borderId="49" xfId="0" applyFont="1" applyBorder="1" applyAlignment="1" applyProtection="1">
      <alignment horizontal="center" vertical="center" wrapText="1"/>
      <protection locked="0"/>
    </xf>
    <xf numFmtId="0" fontId="28" fillId="0" borderId="47" xfId="0" applyFont="1" applyBorder="1" applyAlignment="1" applyProtection="1">
      <alignment horizontal="center" vertical="center"/>
      <protection locked="0"/>
    </xf>
    <xf numFmtId="0" fontId="28" fillId="0" borderId="49" xfId="0" applyFont="1" applyBorder="1" applyAlignment="1" applyProtection="1">
      <alignment horizontal="center" vertical="center"/>
      <protection locked="0"/>
    </xf>
    <xf numFmtId="1" fontId="11" fillId="0" borderId="0" xfId="2" applyNumberFormat="1" applyFont="1" applyAlignment="1" applyProtection="1">
      <alignment horizontal="left" vertical="center"/>
      <protection locked="0"/>
    </xf>
    <xf numFmtId="167" fontId="11" fillId="0" borderId="0" xfId="2" applyNumberFormat="1" applyFont="1" applyAlignment="1" applyProtection="1">
      <alignment horizontal="left" vertical="center"/>
      <protection locked="0"/>
    </xf>
    <xf numFmtId="39" fontId="11" fillId="0" borderId="0" xfId="2" applyNumberFormat="1" applyFont="1" applyAlignment="1">
      <alignment horizontal="left" vertical="center"/>
    </xf>
    <xf numFmtId="168" fontId="11" fillId="0" borderId="0" xfId="2" applyNumberFormat="1" applyFont="1" applyAlignment="1" applyProtection="1">
      <alignment horizontal="left" vertical="center"/>
      <protection locked="0"/>
    </xf>
  </cellXfs>
  <cellStyles count="3">
    <cellStyle name="Comma" xfId="1" builtinId="3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514350</xdr:colOff>
      <xdr:row>0</xdr:row>
      <xdr:rowOff>47625</xdr:rowOff>
    </xdr:from>
    <xdr:to>
      <xdr:col>11</xdr:col>
      <xdr:colOff>990600</xdr:colOff>
      <xdr:row>2</xdr:row>
      <xdr:rowOff>104774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4300-000002000000}"/>
            </a:ext>
          </a:extLst>
        </xdr:cNvPr>
        <xdr:cNvSpPr txBox="1"/>
      </xdr:nvSpPr>
      <xdr:spPr>
        <a:xfrm>
          <a:off x="6962775" y="47625"/>
          <a:ext cx="1095375" cy="45719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MY" sz="900">
              <a:ln>
                <a:noFill/>
              </a:ln>
            </a:rPr>
            <a:t>LAMPIRAN 'E'</a:t>
          </a:r>
        </a:p>
        <a:p>
          <a:r>
            <a:rPr lang="en-MY" sz="900">
              <a:ln>
                <a:noFill/>
              </a:ln>
            </a:rPr>
            <a:t>(Perintah Tetap Penjawatan Bil 30)</a:t>
          </a:r>
        </a:p>
      </xdr:txBody>
    </xdr:sp>
    <xdr:clientData/>
  </xdr:twoCellAnchor>
  <xdr:twoCellAnchor>
    <xdr:from>
      <xdr:col>17</xdr:col>
      <xdr:colOff>4081</xdr:colOff>
      <xdr:row>17</xdr:row>
      <xdr:rowOff>9525</xdr:rowOff>
    </xdr:from>
    <xdr:to>
      <xdr:col>17</xdr:col>
      <xdr:colOff>340178</xdr:colOff>
      <xdr:row>53</xdr:row>
      <xdr:rowOff>13607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00000000-0008-0000-4300-000003000000}"/>
            </a:ext>
            <a:ext uri="{147F2762-F138-4A5C-976F-8EAC2B608ADB}">
              <a16:predDERef xmlns:a16="http://schemas.microsoft.com/office/drawing/2014/main" pred="{2521B9B7-0A3A-47C5-A3DF-137F40AF0EBD}"/>
            </a:ext>
          </a:extLst>
        </xdr:cNvPr>
        <xdr:cNvSpPr>
          <a:spLocks/>
        </xdr:cNvSpPr>
      </xdr:nvSpPr>
      <xdr:spPr bwMode="auto">
        <a:xfrm>
          <a:off x="12453256" y="3390900"/>
          <a:ext cx="336097" cy="6862082"/>
        </a:xfrm>
        <a:prstGeom prst="rightBrace">
          <a:avLst>
            <a:gd name="adj1" fmla="val 116964"/>
            <a:gd name="adj2" fmla="val 50505"/>
          </a:avLst>
        </a:prstGeom>
        <a:noFill/>
        <a:ln w="12700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24E58-DEC5-4CFF-AD7C-0D1451F04347}">
  <sheetPr codeName="Sheet2"/>
  <dimension ref="A1:AL148"/>
  <sheetViews>
    <sheetView showGridLines="0" tabSelected="1" view="pageBreakPreview" zoomScaleNormal="100" zoomScaleSheetLayoutView="100" workbookViewId="0">
      <selection activeCell="L8" activeCellId="1" sqref="C8:E12 L8:L13"/>
    </sheetView>
  </sheetViews>
  <sheetFormatPr defaultColWidth="9.140625" defaultRowHeight="15" x14ac:dyDescent="0.25"/>
  <cols>
    <col min="1" max="1" width="12.140625" style="9" bestFit="1" customWidth="1"/>
    <col min="2" max="2" width="8.42578125" style="9" customWidth="1"/>
    <col min="3" max="3" width="8.5703125" style="9" customWidth="1"/>
    <col min="4" max="4" width="9.140625" style="9"/>
    <col min="5" max="5" width="8.5703125" style="9" customWidth="1"/>
    <col min="6" max="6" width="12" style="9" customWidth="1"/>
    <col min="7" max="8" width="9.28515625" style="9" customWidth="1"/>
    <col min="9" max="9" width="10" style="9" customWidth="1"/>
    <col min="10" max="11" width="9.28515625" style="9" customWidth="1"/>
    <col min="12" max="12" width="15.28515625" style="9" customWidth="1"/>
    <col min="13" max="13" width="9.140625" style="9"/>
    <col min="14" max="14" width="13.140625" style="9" customWidth="1"/>
    <col min="15" max="16" width="7.42578125" style="9" customWidth="1"/>
    <col min="17" max="17" width="28.28515625" style="9" customWidth="1"/>
    <col min="18" max="18" width="30.5703125" style="9" customWidth="1"/>
    <col min="19" max="19" width="31.85546875" style="9" customWidth="1"/>
    <col min="20" max="20" width="9.140625" style="9"/>
    <col min="21" max="21" width="10.28515625" style="9" customWidth="1"/>
    <col min="22" max="22" width="10.85546875" style="9" hidden="1" customWidth="1"/>
    <col min="23" max="23" width="10" style="9" hidden="1" customWidth="1"/>
    <col min="24" max="24" width="14.28515625" style="9" hidden="1" customWidth="1"/>
    <col min="25" max="25" width="14.5703125" style="9" hidden="1" customWidth="1"/>
    <col min="26" max="26" width="10.85546875" style="9" hidden="1" customWidth="1"/>
    <col min="27" max="27" width="12.42578125" style="9" hidden="1" customWidth="1"/>
    <col min="28" max="28" width="12.7109375" style="9" hidden="1" customWidth="1"/>
    <col min="29" max="29" width="14.42578125" style="9" hidden="1" customWidth="1"/>
    <col min="30" max="30" width="12.7109375" style="9" hidden="1" customWidth="1"/>
    <col min="31" max="31" width="14.42578125" style="9" hidden="1" customWidth="1"/>
    <col min="32" max="32" width="10.28515625" style="9" hidden="1" customWidth="1"/>
    <col min="33" max="33" width="11.85546875" style="9" hidden="1" customWidth="1"/>
    <col min="34" max="34" width="9.28515625" style="9" hidden="1" customWidth="1"/>
    <col min="35" max="16384" width="9.140625" style="9"/>
  </cols>
  <sheetData>
    <row r="1" spans="1:19" ht="15.75" x14ac:dyDescent="0.25">
      <c r="A1" s="166" t="s">
        <v>0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N1" s="10"/>
      <c r="O1" s="10"/>
      <c r="P1" s="10"/>
      <c r="Q1" s="10"/>
      <c r="R1" s="10"/>
    </row>
    <row r="2" spans="1:19" ht="15.75" x14ac:dyDescent="0.25">
      <c r="A2" s="166" t="s">
        <v>1</v>
      </c>
      <c r="B2" s="166"/>
      <c r="C2" s="166"/>
      <c r="D2" s="166"/>
      <c r="E2" s="166"/>
      <c r="F2" s="166"/>
      <c r="G2" s="166"/>
      <c r="H2" s="166"/>
      <c r="I2" s="166"/>
      <c r="J2" s="166"/>
      <c r="K2" s="166"/>
      <c r="L2" s="166"/>
      <c r="N2" s="156"/>
      <c r="O2" s="156"/>
      <c r="P2" s="156"/>
      <c r="Q2" s="156"/>
      <c r="R2" s="156"/>
      <c r="S2" s="156"/>
    </row>
    <row r="3" spans="1:19" ht="15.75" x14ac:dyDescent="0.25">
      <c r="A3" s="11"/>
      <c r="B3" s="12"/>
      <c r="C3" s="12"/>
      <c r="D3" s="11"/>
      <c r="E3" s="11"/>
      <c r="F3" s="13"/>
      <c r="G3" s="14"/>
      <c r="H3" s="11"/>
      <c r="I3" s="11"/>
      <c r="J3" s="11"/>
      <c r="K3" s="11"/>
      <c r="L3" s="11"/>
      <c r="P3" s="10"/>
      <c r="Q3" s="10"/>
      <c r="R3" s="10"/>
      <c r="S3" s="10"/>
    </row>
    <row r="4" spans="1:19" ht="15.75" x14ac:dyDescent="0.25">
      <c r="A4" s="179" t="s">
        <v>2</v>
      </c>
      <c r="B4" s="179"/>
      <c r="C4" s="179"/>
      <c r="D4" s="179"/>
      <c r="E4" s="179"/>
      <c r="F4" s="179"/>
      <c r="G4" s="179"/>
      <c r="H4" s="179"/>
      <c r="I4" s="179"/>
      <c r="J4" s="179"/>
      <c r="K4" s="179"/>
      <c r="L4" s="179"/>
      <c r="P4" s="10"/>
      <c r="Q4" s="10"/>
      <c r="R4" s="10"/>
      <c r="S4" s="10"/>
    </row>
    <row r="5" spans="1:19" ht="18" x14ac:dyDescent="0.25">
      <c r="A5" s="180"/>
      <c r="B5" s="180"/>
      <c r="C5" s="180"/>
      <c r="D5" s="180"/>
      <c r="E5" s="180"/>
      <c r="F5" s="180"/>
      <c r="G5" s="180"/>
      <c r="H5" s="180"/>
      <c r="I5" s="180"/>
      <c r="J5" s="180"/>
      <c r="K5" s="180"/>
      <c r="L5" s="180"/>
      <c r="P5" s="10"/>
      <c r="Q5" s="10"/>
      <c r="R5" s="10"/>
      <c r="S5" s="16" t="s">
        <v>58</v>
      </c>
    </row>
    <row r="6" spans="1:19" ht="15.75" x14ac:dyDescent="0.25">
      <c r="A6" s="181" t="s">
        <v>3</v>
      </c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P6" s="17"/>
      <c r="Q6" s="10"/>
      <c r="R6" s="10"/>
      <c r="S6" s="10"/>
    </row>
    <row r="7" spans="1:19" ht="15.75" x14ac:dyDescent="0.25">
      <c r="A7" s="18"/>
      <c r="B7" s="19"/>
      <c r="C7" s="19"/>
      <c r="D7" s="18"/>
      <c r="E7" s="18"/>
      <c r="F7" s="13"/>
      <c r="G7" s="15"/>
      <c r="H7" s="18"/>
      <c r="I7" s="18"/>
      <c r="J7" s="18"/>
      <c r="K7" s="18"/>
      <c r="L7" s="18"/>
      <c r="N7" s="10"/>
      <c r="O7" s="10"/>
      <c r="P7" s="10"/>
      <c r="Q7" s="10"/>
      <c r="R7" s="10"/>
      <c r="S7" s="10"/>
    </row>
    <row r="8" spans="1:19" ht="15" customHeight="1" x14ac:dyDescent="0.25">
      <c r="A8" s="20" t="s">
        <v>4</v>
      </c>
      <c r="B8" s="21" t="s">
        <v>5</v>
      </c>
      <c r="C8" s="27"/>
      <c r="D8" s="20"/>
      <c r="E8" s="27"/>
      <c r="F8" s="22"/>
      <c r="G8" s="23"/>
      <c r="H8" s="20" t="s">
        <v>6</v>
      </c>
      <c r="I8" s="20"/>
      <c r="J8" s="24"/>
      <c r="K8" s="21" t="s">
        <v>5</v>
      </c>
      <c r="L8" s="252"/>
    </row>
    <row r="9" spans="1:19" ht="15.75" x14ac:dyDescent="0.25">
      <c r="A9" s="20" t="s">
        <v>88</v>
      </c>
      <c r="B9" s="21" t="s">
        <v>5</v>
      </c>
      <c r="C9" s="251"/>
      <c r="D9" s="251"/>
      <c r="E9" s="251"/>
      <c r="F9" s="23"/>
      <c r="G9" s="23"/>
      <c r="H9" s="20" t="s">
        <v>7</v>
      </c>
      <c r="I9" s="20"/>
      <c r="J9" s="24"/>
      <c r="K9" s="21" t="s">
        <v>5</v>
      </c>
      <c r="L9" s="253"/>
      <c r="N9" s="10" t="s">
        <v>39</v>
      </c>
      <c r="O9" s="10"/>
      <c r="P9" s="25"/>
      <c r="Q9" s="7" t="str">
        <f>":   "&amp;C8</f>
        <v xml:space="preserve">:   </v>
      </c>
    </row>
    <row r="10" spans="1:19" ht="15" customHeight="1" x14ac:dyDescent="0.25">
      <c r="A10" s="20" t="s">
        <v>8</v>
      </c>
      <c r="B10" s="21" t="s">
        <v>5</v>
      </c>
      <c r="C10" s="27"/>
      <c r="D10" s="20"/>
      <c r="E10" s="20"/>
      <c r="F10" s="22"/>
      <c r="G10" s="23"/>
      <c r="H10" s="20" t="s">
        <v>9</v>
      </c>
      <c r="I10" s="20"/>
      <c r="J10" s="20"/>
      <c r="K10" s="21" t="s">
        <v>5</v>
      </c>
      <c r="L10" s="26" t="s">
        <v>10</v>
      </c>
      <c r="N10" s="10" t="s">
        <v>40</v>
      </c>
      <c r="O10" s="10"/>
      <c r="P10" s="25"/>
      <c r="Q10" s="7" t="str">
        <f>":   "&amp;C10</f>
        <v xml:space="preserve">:   </v>
      </c>
    </row>
    <row r="11" spans="1:19" ht="15" customHeight="1" x14ac:dyDescent="0.25">
      <c r="A11" s="20" t="s">
        <v>11</v>
      </c>
      <c r="B11" s="21" t="s">
        <v>5</v>
      </c>
      <c r="C11" s="27"/>
      <c r="D11" s="20"/>
      <c r="E11" s="20"/>
      <c r="F11" s="23"/>
      <c r="G11" s="23"/>
      <c r="H11" s="20" t="s">
        <v>12</v>
      </c>
      <c r="I11" s="20"/>
      <c r="J11" s="24"/>
      <c r="K11" s="21" t="s">
        <v>5</v>
      </c>
      <c r="L11" s="254"/>
      <c r="N11" s="10" t="s">
        <v>59</v>
      </c>
      <c r="O11" s="10"/>
      <c r="P11" s="25"/>
      <c r="Q11" s="7" t="str">
        <f>":   "&amp;C11</f>
        <v xml:space="preserve">:   </v>
      </c>
    </row>
    <row r="12" spans="1:19" ht="15.75" x14ac:dyDescent="0.25">
      <c r="A12" s="20" t="s">
        <v>13</v>
      </c>
      <c r="B12" s="22" t="s">
        <v>5</v>
      </c>
      <c r="C12" s="27"/>
      <c r="D12" s="20"/>
      <c r="E12" s="22"/>
      <c r="F12" s="23"/>
      <c r="G12" s="22"/>
      <c r="H12" s="20" t="s">
        <v>14</v>
      </c>
      <c r="I12" s="20"/>
      <c r="J12" s="24"/>
      <c r="K12" s="21" t="s">
        <v>5</v>
      </c>
      <c r="L12" s="254"/>
      <c r="N12" s="17" t="s">
        <v>60</v>
      </c>
      <c r="O12" s="17"/>
      <c r="P12" s="25"/>
      <c r="Q12" s="7" t="str">
        <f>":   "&amp;A5</f>
        <v xml:space="preserve">:   </v>
      </c>
    </row>
    <row r="13" spans="1:19" x14ac:dyDescent="0.25">
      <c r="A13" s="20"/>
      <c r="B13" s="22"/>
      <c r="C13" s="27"/>
      <c r="D13" s="20"/>
      <c r="E13" s="22"/>
      <c r="F13" s="23"/>
      <c r="G13" s="22"/>
      <c r="H13" s="20"/>
      <c r="I13" s="20"/>
      <c r="J13" s="24"/>
      <c r="K13" s="21"/>
      <c r="L13" s="27"/>
    </row>
    <row r="14" spans="1:19" ht="15.75" thickBot="1" x14ac:dyDescent="0.3">
      <c r="A14" s="18"/>
      <c r="B14" s="19"/>
      <c r="C14" s="19"/>
      <c r="D14" s="18"/>
      <c r="E14" s="18"/>
      <c r="F14" s="15"/>
      <c r="G14" s="15"/>
      <c r="H14" s="18"/>
      <c r="I14" s="28"/>
      <c r="J14" s="18"/>
      <c r="K14" s="13"/>
      <c r="L14" s="27"/>
    </row>
    <row r="15" spans="1:19" ht="15" customHeight="1" x14ac:dyDescent="0.25">
      <c r="A15" s="29" t="s">
        <v>15</v>
      </c>
      <c r="B15" s="167" t="s">
        <v>16</v>
      </c>
      <c r="C15" s="167"/>
      <c r="D15" s="169" t="s">
        <v>17</v>
      </c>
      <c r="E15" s="170"/>
      <c r="F15" s="170" t="s">
        <v>18</v>
      </c>
      <c r="G15" s="175" t="s">
        <v>19</v>
      </c>
      <c r="H15" s="175"/>
      <c r="I15" s="175"/>
      <c r="J15" s="175"/>
      <c r="K15" s="176"/>
      <c r="L15" s="159" t="s">
        <v>20</v>
      </c>
      <c r="N15" s="150" t="s">
        <v>61</v>
      </c>
      <c r="O15" s="162" t="s">
        <v>62</v>
      </c>
      <c r="P15" s="163"/>
      <c r="Q15" s="150" t="s">
        <v>63</v>
      </c>
      <c r="R15" s="153" t="s">
        <v>64</v>
      </c>
      <c r="S15" s="150" t="s">
        <v>20</v>
      </c>
    </row>
    <row r="16" spans="1:19" ht="15.75" thickBot="1" x14ac:dyDescent="0.3">
      <c r="A16" s="30" t="s">
        <v>21</v>
      </c>
      <c r="B16" s="168"/>
      <c r="C16" s="168"/>
      <c r="D16" s="171"/>
      <c r="E16" s="172"/>
      <c r="F16" s="173"/>
      <c r="G16" s="177"/>
      <c r="H16" s="177"/>
      <c r="I16" s="177"/>
      <c r="J16" s="177"/>
      <c r="K16" s="178"/>
      <c r="L16" s="160"/>
      <c r="N16" s="151"/>
      <c r="O16" s="164"/>
      <c r="P16" s="165"/>
      <c r="Q16" s="151"/>
      <c r="R16" s="154"/>
      <c r="S16" s="151"/>
    </row>
    <row r="17" spans="1:38" ht="15.75" thickBot="1" x14ac:dyDescent="0.3">
      <c r="A17" s="31" t="s">
        <v>22</v>
      </c>
      <c r="B17" s="32" t="s">
        <v>23</v>
      </c>
      <c r="C17" s="33" t="s">
        <v>24</v>
      </c>
      <c r="D17" s="34" t="s">
        <v>23</v>
      </c>
      <c r="E17" s="35" t="s">
        <v>24</v>
      </c>
      <c r="F17" s="174"/>
      <c r="G17" s="36" t="s">
        <v>25</v>
      </c>
      <c r="H17" s="37">
        <v>1.25</v>
      </c>
      <c r="I17" s="37" t="s">
        <v>26</v>
      </c>
      <c r="J17" s="37" t="s">
        <v>27</v>
      </c>
      <c r="K17" s="38">
        <v>2</v>
      </c>
      <c r="L17" s="161"/>
      <c r="N17" s="152"/>
      <c r="O17" s="39" t="s">
        <v>23</v>
      </c>
      <c r="P17" s="39" t="s">
        <v>24</v>
      </c>
      <c r="Q17" s="152"/>
      <c r="R17" s="155"/>
      <c r="S17" s="152"/>
    </row>
    <row r="18" spans="1:38" ht="15" customHeight="1" x14ac:dyDescent="0.25">
      <c r="A18" s="193" t="s">
        <v>111</v>
      </c>
      <c r="B18" s="177"/>
      <c r="C18" s="177"/>
      <c r="D18" s="177"/>
      <c r="E18" s="194"/>
      <c r="F18" s="198"/>
      <c r="G18" s="157"/>
      <c r="H18" s="157"/>
      <c r="I18" s="157"/>
      <c r="J18" s="157"/>
      <c r="K18" s="184"/>
      <c r="L18" s="186" t="s">
        <v>112</v>
      </c>
      <c r="N18" s="138" t="str">
        <f>IF(ISBLANK(A20),"",A20)</f>
        <v/>
      </c>
      <c r="O18" s="139" t="str">
        <f>IF(ISBLANK(D20),"",D20)</f>
        <v/>
      </c>
      <c r="P18" s="140" t="str">
        <f>IF(ISBLANK(E20),"",E20)</f>
        <v/>
      </c>
      <c r="Q18" s="188" t="s">
        <v>90</v>
      </c>
      <c r="R18" s="201"/>
      <c r="S18" s="40"/>
    </row>
    <row r="19" spans="1:38" ht="15" customHeight="1" x14ac:dyDescent="0.25">
      <c r="A19" s="195"/>
      <c r="B19" s="196"/>
      <c r="C19" s="196"/>
      <c r="D19" s="196"/>
      <c r="E19" s="197"/>
      <c r="F19" s="199"/>
      <c r="G19" s="158"/>
      <c r="H19" s="158"/>
      <c r="I19" s="158"/>
      <c r="J19" s="158"/>
      <c r="K19" s="185"/>
      <c r="L19" s="187"/>
      <c r="N19" s="141" t="str">
        <f>A21</f>
        <v/>
      </c>
      <c r="O19" s="142" t="str">
        <f>IF(ISBLANK(D21),"",D21)</f>
        <v/>
      </c>
      <c r="P19" s="143" t="str">
        <f>IF(ISBLANK(E21),"",E21)</f>
        <v/>
      </c>
      <c r="Q19" s="189"/>
      <c r="R19" s="202"/>
      <c r="S19" s="147"/>
      <c r="V19" t="s">
        <v>114</v>
      </c>
      <c r="W19" t="s">
        <v>115</v>
      </c>
      <c r="X19" t="s">
        <v>116</v>
      </c>
      <c r="Y19" t="s">
        <v>117</v>
      </c>
      <c r="Z19" t="s">
        <v>118</v>
      </c>
      <c r="AA19" t="s">
        <v>119</v>
      </c>
      <c r="AB19" t="s">
        <v>120</v>
      </c>
      <c r="AC19" t="s">
        <v>121</v>
      </c>
      <c r="AD19" t="s">
        <v>122</v>
      </c>
      <c r="AE19" t="s">
        <v>123</v>
      </c>
      <c r="AF19" t="s">
        <v>124</v>
      </c>
      <c r="AG19" t="s">
        <v>125</v>
      </c>
      <c r="AH19" t="s">
        <v>126</v>
      </c>
    </row>
    <row r="20" spans="1:38" ht="15" customHeight="1" x14ac:dyDescent="0.25">
      <c r="A20" s="148"/>
      <c r="B20" s="182"/>
      <c r="C20" s="182"/>
      <c r="D20" s="144"/>
      <c r="E20" s="41"/>
      <c r="F20" s="134"/>
      <c r="G20" s="134"/>
      <c r="H20" s="134"/>
      <c r="I20" s="134"/>
      <c r="J20" s="134"/>
      <c r="K20" s="134"/>
      <c r="L20" s="191" t="s">
        <v>89</v>
      </c>
      <c r="N20" s="138" t="str">
        <f>IF(ISBLANK(A22),"",A22)</f>
        <v/>
      </c>
      <c r="O20" s="139" t="str">
        <f t="shared" ref="O20:P35" si="0">IF(ISBLANK(D22),"",D22)</f>
        <v/>
      </c>
      <c r="P20" s="140" t="str">
        <f t="shared" si="0"/>
        <v/>
      </c>
      <c r="Q20" s="189"/>
      <c r="R20" s="202"/>
      <c r="S20" s="40"/>
      <c r="T20"/>
      <c r="U20"/>
      <c r="V20" t="str">
        <f>IF(OR($D20="",$E20=""),"",
_xlfn.LET(
_xlpm.cd,
IF(ISNUMBER($A20),
$A20,
IF(ISNUMBER($A19),$A19,IF(ISNUMBER($A18),$A18,""))
),
IF(_xlpm.cd="","", _xlpm.cd + $D20)
))</f>
        <v/>
      </c>
      <c r="W20" t="str">
        <f>IF(V20="","",
_xlfn.LET(
_xlpm.cd, INT(V20),
_xlpm.cd + $E20 + IF($E20&lt;$D20,1,0)
))</f>
        <v/>
      </c>
      <c r="X20" t="str">
        <f>IF(V20="","",
IF(ROW()=20,
V20,
_xlfn.LET(
_xlpm.pEnd, IF(ISNUMBER($W19), $W19, IF(ISNUMBER($W18), $W18, "")),
_xlpm.pSess, IF(ISNUMBER($W19), $X19, IF(ISNUMBER($W18), $X18, "")),
_xlpm.tol, 1/86400,
IF(AND(_xlpm.pEnd&lt;&gt;"", ABS(_xlpm.pEnd - V20) &lt; _xlpm.tol), _xlpm.pSess, V20)
)
))</f>
        <v/>
      </c>
      <c r="Y20" t="str">
        <f>IF(OR(V20="",W20="",X20=""),"",ROUND((W20-X20)*24,10))</f>
        <v/>
      </c>
      <c r="Z20" t="str" cm="1">
        <f t="array" ref="Z20">IF(V20="","",
_xlfn.LET(
_xlpm.s, V20,
_xlpm.e, W20,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20" t="str">
        <f>IF(V20="","",(W20-V20)*24 - Z20)</f>
        <v/>
      </c>
      <c r="AB20" t="str" cm="1">
        <f t="array" ref="AB20">IF(V20="","",
_xlfn.LET(
_xlpm.active, $Y20&gt;=9-0.000001,
_xlpm.ds, $X20 + 8/24,
_xlpm.de, $X20 + 9/24,
_xlpm.s, MAX($V20, _xlpm.ds),
_xlpm.e, MIN($W20,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20" t="str">
        <f>IF(V20="","",
_xlfn.LET(
_xlpm.active, $Y20&gt;=9-0.000001,
_xlpm.ds, $X20 + 8/24,
_xlpm.de, $X20 + 9/24,
_xlpm.s, MAX($V20, _xlpm.ds),
_xlpm.e, MIN($W20, _xlpm.de),
IF(NOT(_xlpm.active),0,
IF(_xlpm.e&lt;=_xlpm.s,0, (_xlpm.e-_xlpm.s)*24 - AB20)
)
))</f>
        <v/>
      </c>
      <c r="AD20" t="str" cm="1">
        <f t="array" ref="AD20">IF(V20="","",
_xlfn.LET(
_xlpm.active, $Y20&gt;=18-0.000001,
_xlpm.ds, $X20 + 17/24,
_xlpm.de, $X20 + 18/24,
_xlpm.s, MAX($V20, _xlpm.ds),
_xlpm.e, MIN($W20,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20" t="str">
        <f>IF(V20="","",
_xlfn.LET(
_xlpm.active, $Y20&gt;=18-0.000001,
_xlpm.ds, $X20 + 17/24,
_xlpm.de, $X20 + 18/24,
_xlpm.s, MAX($V20, _xlpm.ds),
_xlpm.e, MIN($W20, _xlpm.de),
IF(NOT(_xlpm.active),0,
IF(_xlpm.e&lt;=_xlpm.s,0, (_xlpm.e-_xlpm.s)*24 - AD20)
)
))</f>
        <v/>
      </c>
      <c r="AF20" t="str">
        <f>IF(V20="","",
_xlfn.LET(_xlpm.r, Z20 - AB20 - AD20,
IF(ABS(_xlpm.r)&lt;0.000001,0,_xlpm.r)
))</f>
        <v/>
      </c>
      <c r="AG20" t="str">
        <f>IF(V20="","",
_xlfn.LET(_xlpm.r, AA20 - AC20 - AE20,
IF(ABS(_xlpm.r)&lt;0.000001,0,_xlpm.r)
))</f>
        <v/>
      </c>
      <c r="AH20" t="str">
        <f>IF($D20="","",
_xlfn.LET(
_xlpm.wkTxt,
IF($B20&lt;&gt;"",$B20,IF($B19&lt;&gt;"",$B19,IF($B18&lt;&gt;"",$B18,""))),
IF(_xlpm.wkTxt="","",
IF(_xlpm.wkTxt="KELEPASAN GILIRAN","KG",
IF(OR(_xlpm.wkTxt="KELEPASAN AM",_xlpm.wkTxt="KELEPASAN AM GANTIAN"),"KA","WD")))
))</f>
        <v/>
      </c>
      <c r="AI20"/>
      <c r="AJ20"/>
      <c r="AK20"/>
      <c r="AL20"/>
    </row>
    <row r="21" spans="1:38" ht="15" customHeight="1" x14ac:dyDescent="0.25">
      <c r="A21" s="1" t="str">
        <f t="shared" ref="A21" si="1">IF(A20="","",UPPER(TEXT(A20,"[$-043E]DDDD")))</f>
        <v/>
      </c>
      <c r="B21" s="183"/>
      <c r="C21" s="183"/>
      <c r="D21" s="145"/>
      <c r="E21" s="42"/>
      <c r="F21" s="132" t="str">
        <f>_xlfn.LET(_xlpm.v,(MOD(E21-D21,1))*24,IF(_xlpm.v=0,"",_xlpm.v))</f>
        <v/>
      </c>
      <c r="G21" s="132"/>
      <c r="H21" s="132"/>
      <c r="I21" s="132"/>
      <c r="J21" s="132"/>
      <c r="K21" s="133"/>
      <c r="L21" s="191"/>
      <c r="N21" s="141" t="str">
        <f>A23</f>
        <v/>
      </c>
      <c r="O21" s="142" t="str">
        <f t="shared" si="0"/>
        <v/>
      </c>
      <c r="P21" s="143" t="str">
        <f t="shared" si="0"/>
        <v/>
      </c>
      <c r="Q21" s="189"/>
      <c r="R21" s="202"/>
      <c r="S21" s="147"/>
      <c r="T21"/>
      <c r="U21"/>
      <c r="V21" t="str">
        <f t="shared" ref="V21:V53" si="2">IF(OR($D21="",$E21=""),"",
_xlfn.LET(
_xlpm.cd,
IF(ISNUMBER($A21),
$A21,
IF(ISNUMBER($A20),$A20,IF(ISNUMBER($A19),$A19,""))
),
IF(_xlpm.cd="","", _xlpm.cd + $D21)
))</f>
        <v/>
      </c>
      <c r="W21" t="str">
        <f t="shared" ref="W21:W53" si="3">IF(V21="","",
_xlfn.LET(
_xlpm.cd, INT(V21),
_xlpm.cd + $E21 + IF($E21&lt;$D21,1,0)
))</f>
        <v/>
      </c>
      <c r="X21" t="str">
        <f t="shared" ref="X21:X53" si="4">IF(V21="","",
_xlfn.LET(
_xlpm.pEnd, IF(ISNUMBER($W20), $W20, IF(ISNUMBER($W19), $W19, "")),
_xlpm.pSess, IF(ISNUMBER($W20), $X20, IF(ISNUMBER($W19), $X19, "")),
_xlpm.tol, 1/86400,
IF(AND(_xlpm.pEnd&lt;&gt;"", ABS(_xlpm.pEnd - V21) &lt; _xlpm.tol), _xlpm.pSess, V21)
))</f>
        <v/>
      </c>
      <c r="Y21" t="str">
        <f t="shared" ref="Y21:Y53" si="5">IF(OR(V21="",W21="",X21=""),"",ROUND((W21-X21)*24,10))</f>
        <v/>
      </c>
      <c r="Z21" t="str" cm="1">
        <f t="array" ref="Z21">IF(V21="","",
_xlfn.LET(
_xlpm.s, V21,
_xlpm.e, W21,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21" t="str">
        <f t="shared" ref="AA21:AA53" si="6">IF(V21="","",(W21-V21)*24 - Z21)</f>
        <v/>
      </c>
      <c r="AB21" t="str" cm="1">
        <f t="array" ref="AB21">IF(V21="","",
_xlfn.LET(
_xlpm.active, $Y21&gt;=9-0.000001,
_xlpm.ds, $X21 + 8/24,
_xlpm.de, $X21 + 9/24,
_xlpm.s, MAX($V21, _xlpm.ds),
_xlpm.e, MIN($W21,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21" t="str">
        <f t="shared" ref="AC21:AC53" si="7">IF(V21="","",
_xlfn.LET(
_xlpm.active, $Y21&gt;=9-0.000001,
_xlpm.ds, $X21 + 8/24,
_xlpm.de, $X21 + 9/24,
_xlpm.s, MAX($V21, _xlpm.ds),
_xlpm.e, MIN($W21, _xlpm.de),
IF(NOT(_xlpm.active),0,
IF(_xlpm.e&lt;=_xlpm.s,0, (_xlpm.e-_xlpm.s)*24 - AB21)
)
))</f>
        <v/>
      </c>
      <c r="AD21" t="str" cm="1">
        <f t="array" ref="AD21">IF(V21="","",
_xlfn.LET(
_xlpm.active, $Y21&gt;=18-0.000001,
_xlpm.ds, $X21 + 17/24,
_xlpm.de, $X21 + 18/24,
_xlpm.s, MAX($V21, _xlpm.ds),
_xlpm.e, MIN($W21,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21" t="str">
        <f t="shared" ref="AE21:AE53" si="8">IF(V21="","",
_xlfn.LET(
_xlpm.active, $Y21&gt;=18-0.000001,
_xlpm.ds, $X21 + 17/24,
_xlpm.de, $X21 + 18/24,
_xlpm.s, MAX($V21, _xlpm.ds),
_xlpm.e, MIN($W21, _xlpm.de),
IF(NOT(_xlpm.active),0,
IF(_xlpm.e&lt;=_xlpm.s,0, (_xlpm.e-_xlpm.s)*24 - AD21)
)
))</f>
        <v/>
      </c>
      <c r="AF21" t="str">
        <f t="shared" ref="AF21:AF53" si="9">IF(V21="","",
_xlfn.LET(_xlpm.r, Z21 - AB21 - AD21,
IF(ABS(_xlpm.r)&lt;0.000001,0,_xlpm.r)
))</f>
        <v/>
      </c>
      <c r="AG21" t="str">
        <f t="shared" ref="AG21:AG53" si="10">IF(V21="","",
_xlfn.LET(_xlpm.r, AA21 - AC21 - AE21,
IF(ABS(_xlpm.r)&lt;0.000001,0,_xlpm.r)
))</f>
        <v/>
      </c>
      <c r="AH21" t="str">
        <f t="shared" ref="AH21:AH53" si="11">IF($D21="","",
_xlfn.LET(
_xlpm.wkTxt,
IF($B21&lt;&gt;"",$B21,IF($B20&lt;&gt;"",$B20,IF($B19&lt;&gt;"",$B19,""))),
IF(_xlpm.wkTxt="","",
IF(_xlpm.wkTxt="KELEPASAN GILIRAN","KG",
IF(OR(_xlpm.wkTxt="KELEPASAN AM",_xlpm.wkTxt="KELEPASAN AM GANTIAN"),"KA","WD")))
))</f>
        <v/>
      </c>
      <c r="AI21"/>
      <c r="AJ21"/>
      <c r="AK21"/>
      <c r="AL21"/>
    </row>
    <row r="22" spans="1:38" ht="15" customHeight="1" x14ac:dyDescent="0.25">
      <c r="A22" s="148"/>
      <c r="B22" s="182"/>
      <c r="C22" s="182"/>
      <c r="D22" s="144"/>
      <c r="E22" s="41"/>
      <c r="F22" s="134" t="str">
        <f t="shared" ref="F22:F53" si="12">_xlfn.LET(_xlpm.v,(MOD(E22-D22,1))*24,IF(_xlpm.v=0,"",_xlpm.v))</f>
        <v/>
      </c>
      <c r="G22" s="134"/>
      <c r="H22" s="134"/>
      <c r="I22" s="134"/>
      <c r="J22" s="134"/>
      <c r="K22" s="134"/>
      <c r="L22" s="191"/>
      <c r="N22" s="138" t="str">
        <f t="shared" ref="N22" si="13">IF(ISBLANK(A24),"",A24)</f>
        <v/>
      </c>
      <c r="O22" s="139" t="str">
        <f t="shared" si="0"/>
        <v/>
      </c>
      <c r="P22" s="140" t="str">
        <f t="shared" si="0"/>
        <v/>
      </c>
      <c r="Q22" s="189"/>
      <c r="R22" s="202"/>
      <c r="S22" s="40"/>
      <c r="T22"/>
      <c r="U22"/>
      <c r="V22" t="str">
        <f t="shared" si="2"/>
        <v/>
      </c>
      <c r="W22" t="str">
        <f t="shared" si="3"/>
        <v/>
      </c>
      <c r="X22" t="str">
        <f t="shared" si="4"/>
        <v/>
      </c>
      <c r="Y22" t="str">
        <f t="shared" si="5"/>
        <v/>
      </c>
      <c r="Z22" t="str" cm="1">
        <f t="array" ref="Z22">IF(V22="","",
_xlfn.LET(
_xlpm.s, V22,
_xlpm.e, W22,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22" t="str">
        <f t="shared" si="6"/>
        <v/>
      </c>
      <c r="AB22" t="str" cm="1">
        <f t="array" ref="AB22">IF(V22="","",
_xlfn.LET(
_xlpm.active, $Y22&gt;=9-0.000001,
_xlpm.ds, $X22 + 8/24,
_xlpm.de, $X22 + 9/24,
_xlpm.s, MAX($V22, _xlpm.ds),
_xlpm.e, MIN($W22,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22" t="str">
        <f t="shared" si="7"/>
        <v/>
      </c>
      <c r="AD22" t="str" cm="1">
        <f t="array" ref="AD22">IF(V22="","",
_xlfn.LET(
_xlpm.active, $Y22&gt;=18-0.000001,
_xlpm.ds, $X22 + 17/24,
_xlpm.de, $X22 + 18/24,
_xlpm.s, MAX($V22, _xlpm.ds),
_xlpm.e, MIN($W22,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22" t="str">
        <f t="shared" si="8"/>
        <v/>
      </c>
      <c r="AF22" t="str">
        <f t="shared" si="9"/>
        <v/>
      </c>
      <c r="AG22" t="str">
        <f t="shared" si="10"/>
        <v/>
      </c>
      <c r="AH22" t="str">
        <f t="shared" si="11"/>
        <v/>
      </c>
      <c r="AI22"/>
      <c r="AJ22"/>
      <c r="AK22"/>
      <c r="AL22"/>
    </row>
    <row r="23" spans="1:38" ht="15" customHeight="1" x14ac:dyDescent="0.25">
      <c r="A23" s="1" t="str">
        <f t="shared" ref="A23:A25" si="14">IF(A22="","",UPPER(TEXT(A22,"[$-043E]DDDD")))</f>
        <v/>
      </c>
      <c r="B23" s="183"/>
      <c r="C23" s="183"/>
      <c r="D23" s="145"/>
      <c r="E23" s="42"/>
      <c r="F23" s="132" t="str">
        <f t="shared" si="12"/>
        <v/>
      </c>
      <c r="G23" s="132"/>
      <c r="H23" s="132"/>
      <c r="I23" s="132"/>
      <c r="J23" s="132"/>
      <c r="K23" s="133"/>
      <c r="L23" s="191"/>
      <c r="N23" s="141" t="str">
        <f t="shared" ref="N23" si="15">A25</f>
        <v/>
      </c>
      <c r="O23" s="142" t="str">
        <f t="shared" si="0"/>
        <v/>
      </c>
      <c r="P23" s="143" t="str">
        <f t="shared" si="0"/>
        <v/>
      </c>
      <c r="Q23" s="189"/>
      <c r="R23" s="202"/>
      <c r="S23" s="147"/>
      <c r="T23"/>
      <c r="U23"/>
      <c r="V23" t="str">
        <f t="shared" si="2"/>
        <v/>
      </c>
      <c r="W23" t="str">
        <f t="shared" si="3"/>
        <v/>
      </c>
      <c r="X23" t="str">
        <f t="shared" si="4"/>
        <v/>
      </c>
      <c r="Y23" t="str">
        <f t="shared" si="5"/>
        <v/>
      </c>
      <c r="Z23" t="str" cm="1">
        <f t="array" ref="Z23">IF(V23="","",
_xlfn.LET(
_xlpm.s, V23,
_xlpm.e, W23,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23" t="str">
        <f t="shared" si="6"/>
        <v/>
      </c>
      <c r="AB23" t="str" cm="1">
        <f t="array" ref="AB23">IF(V23="","",
_xlfn.LET(
_xlpm.active, $Y23&gt;=9-0.000001,
_xlpm.ds, $X23 + 8/24,
_xlpm.de, $X23 + 9/24,
_xlpm.s, MAX($V23, _xlpm.ds),
_xlpm.e, MIN($W23,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23" t="str">
        <f t="shared" si="7"/>
        <v/>
      </c>
      <c r="AD23" t="str" cm="1">
        <f t="array" ref="AD23">IF(V23="","",
_xlfn.LET(
_xlpm.active, $Y23&gt;=18-0.000001,
_xlpm.ds, $X23 + 17/24,
_xlpm.de, $X23 + 18/24,
_xlpm.s, MAX($V23, _xlpm.ds),
_xlpm.e, MIN($W23,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23" t="str">
        <f t="shared" si="8"/>
        <v/>
      </c>
      <c r="AF23" t="str">
        <f t="shared" si="9"/>
        <v/>
      </c>
      <c r="AG23" t="str">
        <f t="shared" si="10"/>
        <v/>
      </c>
      <c r="AH23" t="str">
        <f t="shared" si="11"/>
        <v/>
      </c>
      <c r="AI23"/>
      <c r="AJ23"/>
      <c r="AK23"/>
      <c r="AL23"/>
    </row>
    <row r="24" spans="1:38" ht="15" customHeight="1" x14ac:dyDescent="0.25">
      <c r="A24" s="148"/>
      <c r="B24" s="182"/>
      <c r="C24" s="182"/>
      <c r="D24" s="144"/>
      <c r="E24" s="41"/>
      <c r="F24" s="134" t="str">
        <f t="shared" si="12"/>
        <v/>
      </c>
      <c r="G24" s="134"/>
      <c r="H24" s="134"/>
      <c r="I24" s="134"/>
      <c r="J24" s="134"/>
      <c r="K24" s="134"/>
      <c r="L24" s="191"/>
      <c r="N24" s="138" t="str">
        <f t="shared" ref="N24" si="16">IF(ISBLANK(A26),"",A26)</f>
        <v/>
      </c>
      <c r="O24" s="139" t="str">
        <f t="shared" si="0"/>
        <v/>
      </c>
      <c r="P24" s="140" t="str">
        <f t="shared" si="0"/>
        <v/>
      </c>
      <c r="Q24" s="189"/>
      <c r="R24" s="202"/>
      <c r="S24" s="40"/>
      <c r="T24"/>
      <c r="U24"/>
      <c r="V24" t="str">
        <f t="shared" si="2"/>
        <v/>
      </c>
      <c r="W24" t="str">
        <f t="shared" si="3"/>
        <v/>
      </c>
      <c r="X24" t="str">
        <f t="shared" si="4"/>
        <v/>
      </c>
      <c r="Y24" t="str">
        <f t="shared" si="5"/>
        <v/>
      </c>
      <c r="Z24" t="str" cm="1">
        <f t="array" ref="Z24">IF(V24="","",
_xlfn.LET(
_xlpm.s, V24,
_xlpm.e, W24,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24" t="str">
        <f t="shared" si="6"/>
        <v/>
      </c>
      <c r="AB24" t="str" cm="1">
        <f t="array" ref="AB24">IF(V24="","",
_xlfn.LET(
_xlpm.active, $Y24&gt;=9-0.000001,
_xlpm.ds, $X24 + 8/24,
_xlpm.de, $X24 + 9/24,
_xlpm.s, MAX($V24, _xlpm.ds),
_xlpm.e, MIN($W24,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24" t="str">
        <f t="shared" si="7"/>
        <v/>
      </c>
      <c r="AD24" t="str" cm="1">
        <f t="array" ref="AD24">IF(V24="","",
_xlfn.LET(
_xlpm.active, $Y24&gt;=18-0.000001,
_xlpm.ds, $X24 + 17/24,
_xlpm.de, $X24 + 18/24,
_xlpm.s, MAX($V24, _xlpm.ds),
_xlpm.e, MIN($W24,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24" t="str">
        <f t="shared" si="8"/>
        <v/>
      </c>
      <c r="AF24" t="str">
        <f t="shared" si="9"/>
        <v/>
      </c>
      <c r="AG24" t="str">
        <f t="shared" si="10"/>
        <v/>
      </c>
      <c r="AH24" t="str">
        <f t="shared" si="11"/>
        <v/>
      </c>
      <c r="AI24"/>
      <c r="AJ24"/>
      <c r="AK24"/>
      <c r="AL24"/>
    </row>
    <row r="25" spans="1:38" ht="15" customHeight="1" x14ac:dyDescent="0.25">
      <c r="A25" s="1" t="str">
        <f t="shared" si="14"/>
        <v/>
      </c>
      <c r="B25" s="183"/>
      <c r="C25" s="183"/>
      <c r="D25" s="145"/>
      <c r="E25" s="42"/>
      <c r="F25" s="132" t="str">
        <f t="shared" si="12"/>
        <v/>
      </c>
      <c r="G25" s="132"/>
      <c r="H25" s="132"/>
      <c r="I25" s="132"/>
      <c r="J25" s="132"/>
      <c r="K25" s="133"/>
      <c r="L25" s="191"/>
      <c r="N25" s="141" t="str">
        <f t="shared" ref="N25" si="17">A27</f>
        <v/>
      </c>
      <c r="O25" s="142" t="str">
        <f t="shared" si="0"/>
        <v/>
      </c>
      <c r="P25" s="143" t="str">
        <f t="shared" si="0"/>
        <v/>
      </c>
      <c r="Q25" s="189"/>
      <c r="R25" s="202"/>
      <c r="S25" s="147"/>
      <c r="T25"/>
      <c r="U25"/>
      <c r="V25" t="str">
        <f t="shared" si="2"/>
        <v/>
      </c>
      <c r="W25" t="str">
        <f t="shared" si="3"/>
        <v/>
      </c>
      <c r="X25" t="str">
        <f t="shared" si="4"/>
        <v/>
      </c>
      <c r="Y25" t="str">
        <f t="shared" si="5"/>
        <v/>
      </c>
      <c r="Z25" t="str" cm="1">
        <f t="array" ref="Z25">IF(V25="","",
_xlfn.LET(
_xlpm.s, V25,
_xlpm.e, W25,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25" t="str">
        <f t="shared" si="6"/>
        <v/>
      </c>
      <c r="AB25" t="str" cm="1">
        <f t="array" ref="AB25">IF(V25="","",
_xlfn.LET(
_xlpm.active, $Y25&gt;=9-0.000001,
_xlpm.ds, $X25 + 8/24,
_xlpm.de, $X25 + 9/24,
_xlpm.s, MAX($V25, _xlpm.ds),
_xlpm.e, MIN($W25,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25" t="str">
        <f t="shared" si="7"/>
        <v/>
      </c>
      <c r="AD25" t="str" cm="1">
        <f t="array" ref="AD25">IF(V25="","",
_xlfn.LET(
_xlpm.active, $Y25&gt;=18-0.000001,
_xlpm.ds, $X25 + 17/24,
_xlpm.de, $X25 + 18/24,
_xlpm.s, MAX($V25, _xlpm.ds),
_xlpm.e, MIN($W25,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25" t="str">
        <f t="shared" si="8"/>
        <v/>
      </c>
      <c r="AF25" t="str">
        <f t="shared" si="9"/>
        <v/>
      </c>
      <c r="AG25" t="str">
        <f t="shared" si="10"/>
        <v/>
      </c>
      <c r="AH25" t="str">
        <f t="shared" si="11"/>
        <v/>
      </c>
      <c r="AI25"/>
      <c r="AJ25"/>
      <c r="AK25"/>
      <c r="AL25"/>
    </row>
    <row r="26" spans="1:38" ht="15" customHeight="1" x14ac:dyDescent="0.25">
      <c r="A26" s="148"/>
      <c r="B26" s="182"/>
      <c r="C26" s="182"/>
      <c r="D26" s="144"/>
      <c r="E26" s="41"/>
      <c r="F26" s="134" t="str">
        <f t="shared" si="12"/>
        <v/>
      </c>
      <c r="G26" s="134"/>
      <c r="H26" s="134"/>
      <c r="I26" s="134"/>
      <c r="J26" s="134"/>
      <c r="K26" s="134"/>
      <c r="L26" s="191"/>
      <c r="N26" s="138" t="str">
        <f t="shared" ref="N26" si="18">IF(ISBLANK(A28),"",A28)</f>
        <v/>
      </c>
      <c r="O26" s="139" t="str">
        <f t="shared" si="0"/>
        <v/>
      </c>
      <c r="P26" s="140" t="str">
        <f t="shared" si="0"/>
        <v/>
      </c>
      <c r="Q26" s="189"/>
      <c r="R26" s="202"/>
      <c r="S26" s="40"/>
      <c r="T26"/>
      <c r="U26"/>
      <c r="V26" t="str">
        <f t="shared" si="2"/>
        <v/>
      </c>
      <c r="W26" t="str">
        <f t="shared" si="3"/>
        <v/>
      </c>
      <c r="X26" t="str">
        <f t="shared" si="4"/>
        <v/>
      </c>
      <c r="Y26" t="str">
        <f t="shared" si="5"/>
        <v/>
      </c>
      <c r="Z26" t="str" cm="1">
        <f t="array" ref="Z26">IF(V26="","",
_xlfn.LET(
_xlpm.s, V26,
_xlpm.e, W26,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26" t="str">
        <f t="shared" si="6"/>
        <v/>
      </c>
      <c r="AB26" t="str" cm="1">
        <f t="array" ref="AB26">IF(V26="","",
_xlfn.LET(
_xlpm.active, $Y26&gt;=9-0.000001,
_xlpm.ds, $X26 + 8/24,
_xlpm.de, $X26 + 9/24,
_xlpm.s, MAX($V26, _xlpm.ds),
_xlpm.e, MIN($W26,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26" t="str">
        <f t="shared" si="7"/>
        <v/>
      </c>
      <c r="AD26" t="str" cm="1">
        <f t="array" ref="AD26">IF(V26="","",
_xlfn.LET(
_xlpm.active, $Y26&gt;=18-0.000001,
_xlpm.ds, $X26 + 17/24,
_xlpm.de, $X26 + 18/24,
_xlpm.s, MAX($V26, _xlpm.ds),
_xlpm.e, MIN($W26,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26" t="str">
        <f t="shared" si="8"/>
        <v/>
      </c>
      <c r="AF26" t="str">
        <f t="shared" si="9"/>
        <v/>
      </c>
      <c r="AG26" t="str">
        <f t="shared" si="10"/>
        <v/>
      </c>
      <c r="AH26" t="str">
        <f t="shared" si="11"/>
        <v/>
      </c>
      <c r="AI26"/>
      <c r="AJ26"/>
      <c r="AK26"/>
      <c r="AL26"/>
    </row>
    <row r="27" spans="1:38" ht="15" customHeight="1" x14ac:dyDescent="0.25">
      <c r="A27" s="1" t="str">
        <f t="shared" ref="A27" si="19">IF(A26="","",UPPER(TEXT(A26,"[$-043E]DDDD")))</f>
        <v/>
      </c>
      <c r="B27" s="183"/>
      <c r="C27" s="183"/>
      <c r="D27" s="145"/>
      <c r="E27" s="42"/>
      <c r="F27" s="132" t="str">
        <f t="shared" si="12"/>
        <v/>
      </c>
      <c r="G27" s="132"/>
      <c r="H27" s="132"/>
      <c r="I27" s="132"/>
      <c r="J27" s="132"/>
      <c r="K27" s="133"/>
      <c r="L27" s="191"/>
      <c r="N27" s="141" t="str">
        <f t="shared" ref="N27" si="20">A29</f>
        <v/>
      </c>
      <c r="O27" s="142" t="str">
        <f t="shared" si="0"/>
        <v/>
      </c>
      <c r="P27" s="143" t="str">
        <f t="shared" si="0"/>
        <v/>
      </c>
      <c r="Q27" s="189"/>
      <c r="R27" s="202"/>
      <c r="S27" s="147"/>
      <c r="T27"/>
      <c r="U27"/>
      <c r="V27" t="str">
        <f t="shared" si="2"/>
        <v/>
      </c>
      <c r="W27" t="str">
        <f t="shared" si="3"/>
        <v/>
      </c>
      <c r="X27" t="str">
        <f t="shared" si="4"/>
        <v/>
      </c>
      <c r="Y27" t="str">
        <f t="shared" si="5"/>
        <v/>
      </c>
      <c r="Z27" t="str" cm="1">
        <f t="array" ref="Z27">IF(V27="","",
_xlfn.LET(
_xlpm.s, V27,
_xlpm.e, W27,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27" t="str">
        <f t="shared" si="6"/>
        <v/>
      </c>
      <c r="AB27" t="str" cm="1">
        <f t="array" ref="AB27">IF(V27="","",
_xlfn.LET(
_xlpm.active, $Y27&gt;=9-0.000001,
_xlpm.ds, $X27 + 8/24,
_xlpm.de, $X27 + 9/24,
_xlpm.s, MAX($V27, _xlpm.ds),
_xlpm.e, MIN($W27,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27" t="str">
        <f t="shared" si="7"/>
        <v/>
      </c>
      <c r="AD27" t="str" cm="1">
        <f t="array" ref="AD27">IF(V27="","",
_xlfn.LET(
_xlpm.active, $Y27&gt;=18-0.000001,
_xlpm.ds, $X27 + 17/24,
_xlpm.de, $X27 + 18/24,
_xlpm.s, MAX($V27, _xlpm.ds),
_xlpm.e, MIN($W27,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27" t="str">
        <f t="shared" si="8"/>
        <v/>
      </c>
      <c r="AF27" t="str">
        <f t="shared" si="9"/>
        <v/>
      </c>
      <c r="AG27" t="str">
        <f t="shared" si="10"/>
        <v/>
      </c>
      <c r="AH27" t="str">
        <f t="shared" si="11"/>
        <v/>
      </c>
      <c r="AI27"/>
      <c r="AJ27"/>
      <c r="AK27"/>
      <c r="AL27"/>
    </row>
    <row r="28" spans="1:38" ht="15" customHeight="1" x14ac:dyDescent="0.25">
      <c r="A28" s="149"/>
      <c r="B28" s="182"/>
      <c r="C28" s="182"/>
      <c r="D28" s="144"/>
      <c r="E28" s="41"/>
      <c r="F28" s="134" t="str">
        <f t="shared" si="12"/>
        <v/>
      </c>
      <c r="G28" s="134"/>
      <c r="H28" s="134"/>
      <c r="I28" s="134"/>
      <c r="J28" s="134"/>
      <c r="K28" s="134"/>
      <c r="L28" s="191"/>
      <c r="N28" s="138" t="str">
        <f t="shared" ref="N28" si="21">IF(ISBLANK(A30),"",A30)</f>
        <v/>
      </c>
      <c r="O28" s="139" t="str">
        <f t="shared" si="0"/>
        <v/>
      </c>
      <c r="P28" s="140" t="str">
        <f t="shared" si="0"/>
        <v/>
      </c>
      <c r="Q28" s="189"/>
      <c r="R28" s="202"/>
      <c r="S28" s="40"/>
      <c r="T28"/>
      <c r="U28"/>
      <c r="V28" t="str">
        <f t="shared" si="2"/>
        <v/>
      </c>
      <c r="W28" t="str">
        <f t="shared" si="3"/>
        <v/>
      </c>
      <c r="X28" t="str">
        <f t="shared" si="4"/>
        <v/>
      </c>
      <c r="Y28" t="str">
        <f t="shared" si="5"/>
        <v/>
      </c>
      <c r="Z28" t="str" cm="1">
        <f t="array" ref="Z28">IF(V28="","",
_xlfn.LET(
_xlpm.s, V28,
_xlpm.e, W28,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28" t="str">
        <f t="shared" si="6"/>
        <v/>
      </c>
      <c r="AB28" t="str" cm="1">
        <f t="array" ref="AB28">IF(V28="","",
_xlfn.LET(
_xlpm.active, $Y28&gt;=9-0.000001,
_xlpm.ds, $X28 + 8/24,
_xlpm.de, $X28 + 9/24,
_xlpm.s, MAX($V28, _xlpm.ds),
_xlpm.e, MIN($W28,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28" t="str">
        <f t="shared" si="7"/>
        <v/>
      </c>
      <c r="AD28" t="str" cm="1">
        <f t="array" ref="AD28">IF(V28="","",
_xlfn.LET(
_xlpm.active, $Y28&gt;=18-0.000001,
_xlpm.ds, $X28 + 17/24,
_xlpm.de, $X28 + 18/24,
_xlpm.s, MAX($V28, _xlpm.ds),
_xlpm.e, MIN($W28,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28" t="str">
        <f t="shared" si="8"/>
        <v/>
      </c>
      <c r="AF28" t="str">
        <f t="shared" si="9"/>
        <v/>
      </c>
      <c r="AG28" t="str">
        <f t="shared" si="10"/>
        <v/>
      </c>
      <c r="AH28" t="str">
        <f t="shared" si="11"/>
        <v/>
      </c>
      <c r="AI28"/>
      <c r="AJ28"/>
      <c r="AK28"/>
      <c r="AL28"/>
    </row>
    <row r="29" spans="1:38" ht="15" customHeight="1" x14ac:dyDescent="0.25">
      <c r="A29" s="6" t="str">
        <f t="shared" ref="A29" si="22">IF(A28="","",UPPER(TEXT(A28,"[$-043E]DDDD")))</f>
        <v/>
      </c>
      <c r="B29" s="183"/>
      <c r="C29" s="183"/>
      <c r="D29" s="145"/>
      <c r="E29" s="42"/>
      <c r="F29" s="132" t="str">
        <f t="shared" si="12"/>
        <v/>
      </c>
      <c r="G29" s="132"/>
      <c r="H29" s="132"/>
      <c r="I29" s="132"/>
      <c r="J29" s="132"/>
      <c r="K29" s="133"/>
      <c r="L29" s="191"/>
      <c r="N29" s="141" t="str">
        <f t="shared" ref="N29" si="23">A31</f>
        <v/>
      </c>
      <c r="O29" s="142" t="str">
        <f t="shared" si="0"/>
        <v/>
      </c>
      <c r="P29" s="143" t="str">
        <f t="shared" si="0"/>
        <v/>
      </c>
      <c r="Q29" s="189"/>
      <c r="R29" s="202"/>
      <c r="S29" s="147"/>
      <c r="T29"/>
      <c r="U29"/>
      <c r="V29" t="str">
        <f t="shared" si="2"/>
        <v/>
      </c>
      <c r="W29" t="str">
        <f t="shared" si="3"/>
        <v/>
      </c>
      <c r="X29" t="str">
        <f t="shared" si="4"/>
        <v/>
      </c>
      <c r="Y29" t="str">
        <f t="shared" si="5"/>
        <v/>
      </c>
      <c r="Z29" t="str" cm="1">
        <f t="array" ref="Z29">IF(V29="","",
_xlfn.LET(
_xlpm.s, V29,
_xlpm.e, W29,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29" t="str">
        <f t="shared" si="6"/>
        <v/>
      </c>
      <c r="AB29" t="str" cm="1">
        <f t="array" ref="AB29">IF(V29="","",
_xlfn.LET(
_xlpm.active, $Y29&gt;=9-0.000001,
_xlpm.ds, $X29 + 8/24,
_xlpm.de, $X29 + 9/24,
_xlpm.s, MAX($V29, _xlpm.ds),
_xlpm.e, MIN($W29,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29" t="str">
        <f t="shared" si="7"/>
        <v/>
      </c>
      <c r="AD29" t="str" cm="1">
        <f t="array" ref="AD29">IF(V29="","",
_xlfn.LET(
_xlpm.active, $Y29&gt;=18-0.000001,
_xlpm.ds, $X29 + 17/24,
_xlpm.de, $X29 + 18/24,
_xlpm.s, MAX($V29, _xlpm.ds),
_xlpm.e, MIN($W29,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29" t="str">
        <f t="shared" si="8"/>
        <v/>
      </c>
      <c r="AF29" t="str">
        <f t="shared" si="9"/>
        <v/>
      </c>
      <c r="AG29" t="str">
        <f t="shared" si="10"/>
        <v/>
      </c>
      <c r="AH29" t="str">
        <f t="shared" si="11"/>
        <v/>
      </c>
      <c r="AI29"/>
      <c r="AJ29"/>
      <c r="AK29"/>
      <c r="AL29"/>
    </row>
    <row r="30" spans="1:38" ht="15" customHeight="1" x14ac:dyDescent="0.25">
      <c r="A30" s="148"/>
      <c r="B30" s="182"/>
      <c r="C30" s="182"/>
      <c r="D30" s="144"/>
      <c r="E30" s="41"/>
      <c r="F30" s="134" t="str">
        <f t="shared" si="12"/>
        <v/>
      </c>
      <c r="G30" s="134"/>
      <c r="H30" s="134"/>
      <c r="I30" s="134"/>
      <c r="J30" s="134"/>
      <c r="K30" s="134"/>
      <c r="L30" s="191"/>
      <c r="N30" s="138" t="str">
        <f t="shared" ref="N30" si="24">IF(ISBLANK(A32),"",A32)</f>
        <v/>
      </c>
      <c r="O30" s="139" t="str">
        <f t="shared" si="0"/>
        <v/>
      </c>
      <c r="P30" s="140" t="str">
        <f t="shared" si="0"/>
        <v/>
      </c>
      <c r="Q30" s="189"/>
      <c r="R30" s="202"/>
      <c r="S30" s="40"/>
      <c r="T30"/>
      <c r="U30"/>
      <c r="V30" t="str">
        <f t="shared" si="2"/>
        <v/>
      </c>
      <c r="W30" t="str">
        <f t="shared" si="3"/>
        <v/>
      </c>
      <c r="X30" t="str">
        <f t="shared" si="4"/>
        <v/>
      </c>
      <c r="Y30" t="str">
        <f t="shared" si="5"/>
        <v/>
      </c>
      <c r="Z30" t="str" cm="1">
        <f t="array" ref="Z30">IF(V30="","",
_xlfn.LET(
_xlpm.s, V30,
_xlpm.e, W30,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30" t="str">
        <f t="shared" si="6"/>
        <v/>
      </c>
      <c r="AB30" t="str" cm="1">
        <f t="array" ref="AB30">IF(V30="","",
_xlfn.LET(
_xlpm.active, $Y30&gt;=9-0.000001,
_xlpm.ds, $X30 + 8/24,
_xlpm.de, $X30 + 9/24,
_xlpm.s, MAX($V30, _xlpm.ds),
_xlpm.e, MIN($W30,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30" t="str">
        <f t="shared" si="7"/>
        <v/>
      </c>
      <c r="AD30" t="str" cm="1">
        <f t="array" ref="AD30">IF(V30="","",
_xlfn.LET(
_xlpm.active, $Y30&gt;=18-0.000001,
_xlpm.ds, $X30 + 17/24,
_xlpm.de, $X30 + 18/24,
_xlpm.s, MAX($V30, _xlpm.ds),
_xlpm.e, MIN($W30,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30" t="str">
        <f t="shared" si="8"/>
        <v/>
      </c>
      <c r="AF30" t="str">
        <f t="shared" si="9"/>
        <v/>
      </c>
      <c r="AG30" t="str">
        <f t="shared" si="10"/>
        <v/>
      </c>
      <c r="AH30" t="str">
        <f t="shared" si="11"/>
        <v/>
      </c>
      <c r="AI30"/>
      <c r="AJ30"/>
      <c r="AK30"/>
      <c r="AL30"/>
    </row>
    <row r="31" spans="1:38" ht="15" customHeight="1" x14ac:dyDescent="0.25">
      <c r="A31" s="1" t="str">
        <f t="shared" ref="A31" si="25">IF(A30="","",UPPER(TEXT(A30,"[$-043E]DDDD")))</f>
        <v/>
      </c>
      <c r="B31" s="183"/>
      <c r="C31" s="183"/>
      <c r="D31" s="145"/>
      <c r="E31" s="42"/>
      <c r="F31" s="132" t="str">
        <f t="shared" si="12"/>
        <v/>
      </c>
      <c r="G31" s="132"/>
      <c r="H31" s="132"/>
      <c r="I31" s="132"/>
      <c r="J31" s="132"/>
      <c r="K31" s="133"/>
      <c r="L31" s="191"/>
      <c r="N31" s="141" t="str">
        <f t="shared" ref="N31" si="26">A33</f>
        <v/>
      </c>
      <c r="O31" s="142" t="str">
        <f t="shared" si="0"/>
        <v/>
      </c>
      <c r="P31" s="143" t="str">
        <f t="shared" si="0"/>
        <v/>
      </c>
      <c r="Q31" s="189"/>
      <c r="R31" s="202"/>
      <c r="S31" s="147"/>
      <c r="T31"/>
      <c r="U31"/>
      <c r="V31" t="str">
        <f t="shared" si="2"/>
        <v/>
      </c>
      <c r="W31" t="str">
        <f t="shared" si="3"/>
        <v/>
      </c>
      <c r="X31" t="str">
        <f t="shared" si="4"/>
        <v/>
      </c>
      <c r="Y31" t="str">
        <f t="shared" si="5"/>
        <v/>
      </c>
      <c r="Z31" t="str" cm="1">
        <f t="array" ref="Z31">IF(V31="","",
_xlfn.LET(
_xlpm.s, V31,
_xlpm.e, W31,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31" t="str">
        <f t="shared" si="6"/>
        <v/>
      </c>
      <c r="AB31" t="str" cm="1">
        <f t="array" ref="AB31">IF(V31="","",
_xlfn.LET(
_xlpm.active, $Y31&gt;=9-0.000001,
_xlpm.ds, $X31 + 8/24,
_xlpm.de, $X31 + 9/24,
_xlpm.s, MAX($V31, _xlpm.ds),
_xlpm.e, MIN($W31,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31" t="str">
        <f t="shared" si="7"/>
        <v/>
      </c>
      <c r="AD31" t="str" cm="1">
        <f t="array" ref="AD31">IF(V31="","",
_xlfn.LET(
_xlpm.active, $Y31&gt;=18-0.000001,
_xlpm.ds, $X31 + 17/24,
_xlpm.de, $X31 + 18/24,
_xlpm.s, MAX($V31, _xlpm.ds),
_xlpm.e, MIN($W31,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31" t="str">
        <f t="shared" si="8"/>
        <v/>
      </c>
      <c r="AF31" t="str">
        <f t="shared" si="9"/>
        <v/>
      </c>
      <c r="AG31" t="str">
        <f t="shared" si="10"/>
        <v/>
      </c>
      <c r="AH31" t="str">
        <f t="shared" si="11"/>
        <v/>
      </c>
      <c r="AI31"/>
      <c r="AJ31"/>
      <c r="AK31"/>
      <c r="AL31"/>
    </row>
    <row r="32" spans="1:38" ht="15" customHeight="1" x14ac:dyDescent="0.25">
      <c r="A32" s="148"/>
      <c r="B32" s="182"/>
      <c r="C32" s="182"/>
      <c r="D32" s="144"/>
      <c r="E32" s="41"/>
      <c r="F32" s="134" t="str">
        <f t="shared" si="12"/>
        <v/>
      </c>
      <c r="G32" s="134"/>
      <c r="H32" s="134"/>
      <c r="I32" s="134"/>
      <c r="J32" s="134"/>
      <c r="K32" s="134"/>
      <c r="L32" s="191"/>
      <c r="N32" s="138" t="str">
        <f t="shared" ref="N32" si="27">IF(ISBLANK(A34),"",A34)</f>
        <v/>
      </c>
      <c r="O32" s="139" t="str">
        <f t="shared" si="0"/>
        <v/>
      </c>
      <c r="P32" s="140" t="str">
        <f t="shared" si="0"/>
        <v/>
      </c>
      <c r="Q32" s="189"/>
      <c r="R32" s="202"/>
      <c r="S32" s="40"/>
      <c r="T32"/>
      <c r="U32"/>
      <c r="V32" t="str">
        <f t="shared" si="2"/>
        <v/>
      </c>
      <c r="W32" t="str">
        <f t="shared" si="3"/>
        <v/>
      </c>
      <c r="X32" t="str">
        <f t="shared" si="4"/>
        <v/>
      </c>
      <c r="Y32" t="str">
        <f t="shared" si="5"/>
        <v/>
      </c>
      <c r="Z32" t="str" cm="1">
        <f t="array" ref="Z32">IF(V32="","",
_xlfn.LET(
_xlpm.s, V32,
_xlpm.e, W32,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32" t="str">
        <f t="shared" si="6"/>
        <v/>
      </c>
      <c r="AB32" t="str" cm="1">
        <f t="array" ref="AB32">IF(V32="","",
_xlfn.LET(
_xlpm.active, $Y32&gt;=9-0.000001,
_xlpm.ds, $X32 + 8/24,
_xlpm.de, $X32 + 9/24,
_xlpm.s, MAX($V32, _xlpm.ds),
_xlpm.e, MIN($W32,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32" t="str">
        <f t="shared" si="7"/>
        <v/>
      </c>
      <c r="AD32" t="str" cm="1">
        <f t="array" ref="AD32">IF(V32="","",
_xlfn.LET(
_xlpm.active, $Y32&gt;=18-0.000001,
_xlpm.ds, $X32 + 17/24,
_xlpm.de, $X32 + 18/24,
_xlpm.s, MAX($V32, _xlpm.ds),
_xlpm.e, MIN($W32,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32" t="str">
        <f t="shared" si="8"/>
        <v/>
      </c>
      <c r="AF32" t="str">
        <f t="shared" si="9"/>
        <v/>
      </c>
      <c r="AG32" t="str">
        <f t="shared" si="10"/>
        <v/>
      </c>
      <c r="AH32" t="str">
        <f t="shared" si="11"/>
        <v/>
      </c>
      <c r="AI32"/>
      <c r="AJ32"/>
      <c r="AK32"/>
      <c r="AL32"/>
    </row>
    <row r="33" spans="1:38" ht="15" customHeight="1" x14ac:dyDescent="0.25">
      <c r="A33" s="1" t="str">
        <f t="shared" ref="A33" si="28">IF(A32="","",UPPER(TEXT(A32,"[$-043E]DDDD")))</f>
        <v/>
      </c>
      <c r="B33" s="183"/>
      <c r="C33" s="183"/>
      <c r="D33" s="145"/>
      <c r="E33" s="42"/>
      <c r="F33" s="132" t="str">
        <f t="shared" si="12"/>
        <v/>
      </c>
      <c r="G33" s="132"/>
      <c r="H33" s="132"/>
      <c r="I33" s="132"/>
      <c r="J33" s="132"/>
      <c r="K33" s="133"/>
      <c r="L33" s="191"/>
      <c r="N33" s="141" t="str">
        <f t="shared" ref="N33" si="29">A35</f>
        <v/>
      </c>
      <c r="O33" s="142" t="str">
        <f t="shared" si="0"/>
        <v/>
      </c>
      <c r="P33" s="143" t="str">
        <f t="shared" si="0"/>
        <v/>
      </c>
      <c r="Q33" s="189"/>
      <c r="R33" s="202"/>
      <c r="S33" s="147"/>
      <c r="T33"/>
      <c r="U33"/>
      <c r="V33" t="str">
        <f t="shared" si="2"/>
        <v/>
      </c>
      <c r="W33" t="str">
        <f t="shared" si="3"/>
        <v/>
      </c>
      <c r="X33" t="str">
        <f t="shared" si="4"/>
        <v/>
      </c>
      <c r="Y33" t="str">
        <f t="shared" si="5"/>
        <v/>
      </c>
      <c r="Z33" t="str" cm="1">
        <f t="array" ref="Z33">IF(V33="","",
_xlfn.LET(
_xlpm.s, V33,
_xlpm.e, W33,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33" t="str">
        <f t="shared" si="6"/>
        <v/>
      </c>
      <c r="AB33" t="str" cm="1">
        <f t="array" ref="AB33">IF(V33="","",
_xlfn.LET(
_xlpm.active, $Y33&gt;=9-0.000001,
_xlpm.ds, $X33 + 8/24,
_xlpm.de, $X33 + 9/24,
_xlpm.s, MAX($V33, _xlpm.ds),
_xlpm.e, MIN($W33,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33" t="str">
        <f t="shared" si="7"/>
        <v/>
      </c>
      <c r="AD33" t="str" cm="1">
        <f t="array" ref="AD33">IF(V33="","",
_xlfn.LET(
_xlpm.active, $Y33&gt;=18-0.000001,
_xlpm.ds, $X33 + 17/24,
_xlpm.de, $X33 + 18/24,
_xlpm.s, MAX($V33, _xlpm.ds),
_xlpm.e, MIN($W33,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33" t="str">
        <f t="shared" si="8"/>
        <v/>
      </c>
      <c r="AF33" t="str">
        <f t="shared" si="9"/>
        <v/>
      </c>
      <c r="AG33" t="str">
        <f t="shared" si="10"/>
        <v/>
      </c>
      <c r="AH33" t="str">
        <f t="shared" si="11"/>
        <v/>
      </c>
      <c r="AI33"/>
      <c r="AJ33"/>
      <c r="AK33"/>
      <c r="AL33"/>
    </row>
    <row r="34" spans="1:38" ht="15" customHeight="1" x14ac:dyDescent="0.25">
      <c r="A34" s="148"/>
      <c r="B34" s="182"/>
      <c r="C34" s="182"/>
      <c r="D34" s="144"/>
      <c r="E34" s="41"/>
      <c r="F34" s="134" t="str">
        <f t="shared" si="12"/>
        <v/>
      </c>
      <c r="G34" s="134"/>
      <c r="H34" s="134"/>
      <c r="I34" s="134"/>
      <c r="J34" s="134"/>
      <c r="K34" s="134"/>
      <c r="L34" s="191"/>
      <c r="N34" s="138" t="str">
        <f t="shared" ref="N34" si="30">IF(ISBLANK(A36),"",A36)</f>
        <v/>
      </c>
      <c r="O34" s="139" t="str">
        <f t="shared" si="0"/>
        <v/>
      </c>
      <c r="P34" s="140" t="str">
        <f t="shared" si="0"/>
        <v/>
      </c>
      <c r="Q34" s="189"/>
      <c r="R34" s="202"/>
      <c r="S34" s="40"/>
      <c r="T34"/>
      <c r="U34"/>
      <c r="V34" t="str">
        <f t="shared" si="2"/>
        <v/>
      </c>
      <c r="W34" t="str">
        <f t="shared" si="3"/>
        <v/>
      </c>
      <c r="X34" t="str">
        <f t="shared" si="4"/>
        <v/>
      </c>
      <c r="Y34" t="str">
        <f t="shared" si="5"/>
        <v/>
      </c>
      <c r="Z34" t="str" cm="1">
        <f t="array" ref="Z34">IF(V34="","",
_xlfn.LET(
_xlpm.s, V34,
_xlpm.e, W34,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34" t="str">
        <f t="shared" si="6"/>
        <v/>
      </c>
      <c r="AB34" t="str" cm="1">
        <f t="array" ref="AB34">IF(V34="","",
_xlfn.LET(
_xlpm.active, $Y34&gt;=9-0.000001,
_xlpm.ds, $X34 + 8/24,
_xlpm.de, $X34 + 9/24,
_xlpm.s, MAX($V34, _xlpm.ds),
_xlpm.e, MIN($W34,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34" t="str">
        <f t="shared" si="7"/>
        <v/>
      </c>
      <c r="AD34" t="str" cm="1">
        <f t="array" ref="AD34">IF(V34="","",
_xlfn.LET(
_xlpm.active, $Y34&gt;=18-0.000001,
_xlpm.ds, $X34 + 17/24,
_xlpm.de, $X34 + 18/24,
_xlpm.s, MAX($V34, _xlpm.ds),
_xlpm.e, MIN($W34,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34" t="str">
        <f t="shared" si="8"/>
        <v/>
      </c>
      <c r="AF34" t="str">
        <f t="shared" si="9"/>
        <v/>
      </c>
      <c r="AG34" t="str">
        <f t="shared" si="10"/>
        <v/>
      </c>
      <c r="AH34" t="str">
        <f t="shared" si="11"/>
        <v/>
      </c>
      <c r="AI34"/>
      <c r="AJ34"/>
      <c r="AK34"/>
      <c r="AL34"/>
    </row>
    <row r="35" spans="1:38" ht="15" customHeight="1" x14ac:dyDescent="0.25">
      <c r="A35" s="1" t="str">
        <f t="shared" ref="A35" si="31">IF(A34="","",UPPER(TEXT(A34,"[$-043E]DDDD")))</f>
        <v/>
      </c>
      <c r="B35" s="183"/>
      <c r="C35" s="183"/>
      <c r="D35" s="145"/>
      <c r="E35" s="42"/>
      <c r="F35" s="132" t="str">
        <f t="shared" si="12"/>
        <v/>
      </c>
      <c r="G35" s="132"/>
      <c r="H35" s="132"/>
      <c r="I35" s="132"/>
      <c r="J35" s="132"/>
      <c r="K35" s="133"/>
      <c r="L35" s="191"/>
      <c r="N35" s="141" t="str">
        <f t="shared" ref="N35" si="32">A37</f>
        <v/>
      </c>
      <c r="O35" s="142" t="str">
        <f t="shared" si="0"/>
        <v/>
      </c>
      <c r="P35" s="143" t="str">
        <f t="shared" si="0"/>
        <v/>
      </c>
      <c r="Q35" s="189"/>
      <c r="R35" s="202"/>
      <c r="S35" s="147"/>
      <c r="T35"/>
      <c r="U35"/>
      <c r="V35" t="str">
        <f t="shared" si="2"/>
        <v/>
      </c>
      <c r="W35" t="str">
        <f t="shared" si="3"/>
        <v/>
      </c>
      <c r="X35" t="str">
        <f t="shared" si="4"/>
        <v/>
      </c>
      <c r="Y35" t="str">
        <f t="shared" si="5"/>
        <v/>
      </c>
      <c r="Z35" t="str" cm="1">
        <f t="array" ref="Z35">IF(V35="","",
_xlfn.LET(
_xlpm.s, V35,
_xlpm.e, W35,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35" t="str">
        <f t="shared" si="6"/>
        <v/>
      </c>
      <c r="AB35" t="str" cm="1">
        <f t="array" ref="AB35">IF(V35="","",
_xlfn.LET(
_xlpm.active, $Y35&gt;=9-0.000001,
_xlpm.ds, $X35 + 8/24,
_xlpm.de, $X35 + 9/24,
_xlpm.s, MAX($V35, _xlpm.ds),
_xlpm.e, MIN($W35,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35" t="str">
        <f t="shared" si="7"/>
        <v/>
      </c>
      <c r="AD35" t="str" cm="1">
        <f t="array" ref="AD35">IF(V35="","",
_xlfn.LET(
_xlpm.active, $Y35&gt;=18-0.000001,
_xlpm.ds, $X35 + 17/24,
_xlpm.de, $X35 + 18/24,
_xlpm.s, MAX($V35, _xlpm.ds),
_xlpm.e, MIN($W35,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35" t="str">
        <f t="shared" si="8"/>
        <v/>
      </c>
      <c r="AF35" t="str">
        <f t="shared" si="9"/>
        <v/>
      </c>
      <c r="AG35" t="str">
        <f t="shared" si="10"/>
        <v/>
      </c>
      <c r="AH35" t="str">
        <f t="shared" si="11"/>
        <v/>
      </c>
      <c r="AI35"/>
      <c r="AJ35"/>
      <c r="AK35"/>
      <c r="AL35"/>
    </row>
    <row r="36" spans="1:38" ht="15" customHeight="1" x14ac:dyDescent="0.25">
      <c r="A36" s="148"/>
      <c r="B36" s="182"/>
      <c r="C36" s="182"/>
      <c r="D36" s="144"/>
      <c r="E36" s="41"/>
      <c r="F36" s="134" t="str">
        <f t="shared" si="12"/>
        <v/>
      </c>
      <c r="G36" s="134"/>
      <c r="H36" s="134"/>
      <c r="I36" s="134"/>
      <c r="J36" s="134"/>
      <c r="K36" s="134"/>
      <c r="L36" s="191"/>
      <c r="N36" s="138" t="str">
        <f t="shared" ref="N36" si="33">IF(ISBLANK(A38),"",A38)</f>
        <v/>
      </c>
      <c r="O36" s="139" t="str">
        <f t="shared" ref="O36:P51" si="34">IF(ISBLANK(D38),"",D38)</f>
        <v/>
      </c>
      <c r="P36" s="140" t="str">
        <f t="shared" si="34"/>
        <v/>
      </c>
      <c r="Q36" s="189"/>
      <c r="R36" s="202"/>
      <c r="S36" s="40"/>
      <c r="T36"/>
      <c r="U36"/>
      <c r="V36" t="str">
        <f t="shared" si="2"/>
        <v/>
      </c>
      <c r="W36" t="str">
        <f t="shared" si="3"/>
        <v/>
      </c>
      <c r="X36" t="str">
        <f t="shared" si="4"/>
        <v/>
      </c>
      <c r="Y36" t="str">
        <f t="shared" si="5"/>
        <v/>
      </c>
      <c r="Z36" t="str" cm="1">
        <f t="array" ref="Z36">IF(V36="","",
_xlfn.LET(
_xlpm.s, V36,
_xlpm.e, W36,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36" t="str">
        <f t="shared" si="6"/>
        <v/>
      </c>
      <c r="AB36" t="str" cm="1">
        <f t="array" ref="AB36">IF(V36="","",
_xlfn.LET(
_xlpm.active, $Y36&gt;=9-0.000001,
_xlpm.ds, $X36 + 8/24,
_xlpm.de, $X36 + 9/24,
_xlpm.s, MAX($V36, _xlpm.ds),
_xlpm.e, MIN($W36,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36" t="str">
        <f t="shared" si="7"/>
        <v/>
      </c>
      <c r="AD36" t="str" cm="1">
        <f t="array" ref="AD36">IF(V36="","",
_xlfn.LET(
_xlpm.active, $Y36&gt;=18-0.000001,
_xlpm.ds, $X36 + 17/24,
_xlpm.de, $X36 + 18/24,
_xlpm.s, MAX($V36, _xlpm.ds),
_xlpm.e, MIN($W36,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36" t="str">
        <f t="shared" si="8"/>
        <v/>
      </c>
      <c r="AF36" t="str">
        <f t="shared" si="9"/>
        <v/>
      </c>
      <c r="AG36" t="str">
        <f t="shared" si="10"/>
        <v/>
      </c>
      <c r="AH36" t="str">
        <f t="shared" si="11"/>
        <v/>
      </c>
      <c r="AI36"/>
      <c r="AJ36"/>
      <c r="AK36"/>
      <c r="AL36"/>
    </row>
    <row r="37" spans="1:38" ht="15" customHeight="1" x14ac:dyDescent="0.25">
      <c r="A37" s="1" t="str">
        <f t="shared" ref="A37" si="35">IF(A36="","",UPPER(TEXT(A36,"[$-043E]DDDD")))</f>
        <v/>
      </c>
      <c r="B37" s="183"/>
      <c r="C37" s="183"/>
      <c r="D37" s="145"/>
      <c r="E37" s="42"/>
      <c r="F37" s="132" t="str">
        <f t="shared" si="12"/>
        <v/>
      </c>
      <c r="G37" s="132"/>
      <c r="H37" s="132"/>
      <c r="I37" s="132"/>
      <c r="J37" s="132"/>
      <c r="K37" s="133"/>
      <c r="L37" s="191"/>
      <c r="N37" s="141" t="str">
        <f t="shared" ref="N37" si="36">A39</f>
        <v/>
      </c>
      <c r="O37" s="142" t="str">
        <f t="shared" si="34"/>
        <v/>
      </c>
      <c r="P37" s="143" t="str">
        <f t="shared" si="34"/>
        <v/>
      </c>
      <c r="Q37" s="189"/>
      <c r="R37" s="202"/>
      <c r="S37" s="147"/>
      <c r="T37"/>
      <c r="U37"/>
      <c r="V37" t="str">
        <f t="shared" si="2"/>
        <v/>
      </c>
      <c r="W37" t="str">
        <f t="shared" si="3"/>
        <v/>
      </c>
      <c r="X37" t="str">
        <f t="shared" si="4"/>
        <v/>
      </c>
      <c r="Y37" t="str">
        <f t="shared" si="5"/>
        <v/>
      </c>
      <c r="Z37" t="str" cm="1">
        <f t="array" ref="Z37">IF(V37="","",
_xlfn.LET(
_xlpm.s, V37,
_xlpm.e, W37,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37" t="str">
        <f t="shared" si="6"/>
        <v/>
      </c>
      <c r="AB37" t="str" cm="1">
        <f t="array" ref="AB37">IF(V37="","",
_xlfn.LET(
_xlpm.active, $Y37&gt;=9-0.000001,
_xlpm.ds, $X37 + 8/24,
_xlpm.de, $X37 + 9/24,
_xlpm.s, MAX($V37, _xlpm.ds),
_xlpm.e, MIN($W37,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37" t="str">
        <f t="shared" si="7"/>
        <v/>
      </c>
      <c r="AD37" t="str" cm="1">
        <f t="array" ref="AD37">IF(V37="","",
_xlfn.LET(
_xlpm.active, $Y37&gt;=18-0.000001,
_xlpm.ds, $X37 + 17/24,
_xlpm.de, $X37 + 18/24,
_xlpm.s, MAX($V37, _xlpm.ds),
_xlpm.e, MIN($W37,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37" t="str">
        <f t="shared" si="8"/>
        <v/>
      </c>
      <c r="AF37" t="str">
        <f t="shared" si="9"/>
        <v/>
      </c>
      <c r="AG37" t="str">
        <f t="shared" si="10"/>
        <v/>
      </c>
      <c r="AH37" t="str">
        <f t="shared" si="11"/>
        <v/>
      </c>
      <c r="AI37"/>
      <c r="AJ37"/>
      <c r="AK37"/>
      <c r="AL37"/>
    </row>
    <row r="38" spans="1:38" ht="15" customHeight="1" x14ac:dyDescent="0.25">
      <c r="A38" s="148"/>
      <c r="B38" s="182"/>
      <c r="C38" s="182"/>
      <c r="D38" s="144"/>
      <c r="E38" s="41"/>
      <c r="F38" s="134" t="str">
        <f t="shared" si="12"/>
        <v/>
      </c>
      <c r="G38" s="134"/>
      <c r="H38" s="134"/>
      <c r="I38" s="134"/>
      <c r="J38" s="134"/>
      <c r="K38" s="134"/>
      <c r="L38" s="191"/>
      <c r="N38" s="138" t="str">
        <f t="shared" ref="N38" si="37">IF(ISBLANK(A40),"",A40)</f>
        <v/>
      </c>
      <c r="O38" s="139" t="str">
        <f t="shared" si="34"/>
        <v/>
      </c>
      <c r="P38" s="140" t="str">
        <f t="shared" si="34"/>
        <v/>
      </c>
      <c r="Q38" s="189"/>
      <c r="R38" s="202"/>
      <c r="S38" s="40"/>
      <c r="T38"/>
      <c r="U38"/>
      <c r="V38" t="str">
        <f t="shared" si="2"/>
        <v/>
      </c>
      <c r="W38" t="str">
        <f t="shared" si="3"/>
        <v/>
      </c>
      <c r="X38" t="str">
        <f t="shared" si="4"/>
        <v/>
      </c>
      <c r="Y38" t="str">
        <f t="shared" si="5"/>
        <v/>
      </c>
      <c r="Z38" t="str" cm="1">
        <f t="array" ref="Z38">IF(V38="","",
_xlfn.LET(
_xlpm.s, V38,
_xlpm.e, W38,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38" t="str">
        <f t="shared" si="6"/>
        <v/>
      </c>
      <c r="AB38" t="str" cm="1">
        <f t="array" ref="AB38">IF(V38="","",
_xlfn.LET(
_xlpm.active, $Y38&gt;=9-0.000001,
_xlpm.ds, $X38 + 8/24,
_xlpm.de, $X38 + 9/24,
_xlpm.s, MAX($V38, _xlpm.ds),
_xlpm.e, MIN($W38,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38" t="str">
        <f t="shared" si="7"/>
        <v/>
      </c>
      <c r="AD38" t="str" cm="1">
        <f t="array" ref="AD38">IF(V38="","",
_xlfn.LET(
_xlpm.active, $Y38&gt;=18-0.000001,
_xlpm.ds, $X38 + 17/24,
_xlpm.de, $X38 + 18/24,
_xlpm.s, MAX($V38, _xlpm.ds),
_xlpm.e, MIN($W38,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38" t="str">
        <f t="shared" si="8"/>
        <v/>
      </c>
      <c r="AF38" t="str">
        <f t="shared" si="9"/>
        <v/>
      </c>
      <c r="AG38" t="str">
        <f t="shared" si="10"/>
        <v/>
      </c>
      <c r="AH38" t="str">
        <f t="shared" si="11"/>
        <v/>
      </c>
      <c r="AI38"/>
      <c r="AJ38"/>
      <c r="AK38"/>
      <c r="AL38"/>
    </row>
    <row r="39" spans="1:38" ht="15" customHeight="1" x14ac:dyDescent="0.25">
      <c r="A39" s="1" t="str">
        <f t="shared" ref="A39" si="38">IF(A38="","",UPPER(TEXT(A38,"[$-043E]DDDD")))</f>
        <v/>
      </c>
      <c r="B39" s="183"/>
      <c r="C39" s="183"/>
      <c r="D39" s="145"/>
      <c r="E39" s="42"/>
      <c r="F39" s="132" t="str">
        <f t="shared" si="12"/>
        <v/>
      </c>
      <c r="G39" s="132"/>
      <c r="H39" s="132"/>
      <c r="I39" s="132"/>
      <c r="J39" s="132"/>
      <c r="K39" s="133"/>
      <c r="L39" s="191"/>
      <c r="N39" s="141" t="str">
        <f t="shared" ref="N39" si="39">A41</f>
        <v/>
      </c>
      <c r="O39" s="142" t="str">
        <f t="shared" si="34"/>
        <v/>
      </c>
      <c r="P39" s="143" t="str">
        <f t="shared" si="34"/>
        <v/>
      </c>
      <c r="Q39" s="189"/>
      <c r="R39" s="202"/>
      <c r="S39" s="147"/>
      <c r="T39"/>
      <c r="U39"/>
      <c r="V39" t="str">
        <f t="shared" si="2"/>
        <v/>
      </c>
      <c r="W39" t="str">
        <f t="shared" si="3"/>
        <v/>
      </c>
      <c r="X39" t="str">
        <f t="shared" si="4"/>
        <v/>
      </c>
      <c r="Y39" t="str">
        <f t="shared" si="5"/>
        <v/>
      </c>
      <c r="Z39" t="str" cm="1">
        <f t="array" ref="Z39">IF(V39="","",
_xlfn.LET(
_xlpm.s, V39,
_xlpm.e, W39,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39" t="str">
        <f t="shared" si="6"/>
        <v/>
      </c>
      <c r="AB39" t="str" cm="1">
        <f t="array" ref="AB39">IF(V39="","",
_xlfn.LET(
_xlpm.active, $Y39&gt;=9-0.000001,
_xlpm.ds, $X39 + 8/24,
_xlpm.de, $X39 + 9/24,
_xlpm.s, MAX($V39, _xlpm.ds),
_xlpm.e, MIN($W39,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39" t="str">
        <f t="shared" si="7"/>
        <v/>
      </c>
      <c r="AD39" t="str" cm="1">
        <f t="array" ref="AD39">IF(V39="","",
_xlfn.LET(
_xlpm.active, $Y39&gt;=18-0.000001,
_xlpm.ds, $X39 + 17/24,
_xlpm.de, $X39 + 18/24,
_xlpm.s, MAX($V39, _xlpm.ds),
_xlpm.e, MIN($W39,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39" t="str">
        <f t="shared" si="8"/>
        <v/>
      </c>
      <c r="AF39" t="str">
        <f t="shared" si="9"/>
        <v/>
      </c>
      <c r="AG39" t="str">
        <f t="shared" si="10"/>
        <v/>
      </c>
      <c r="AH39" t="str">
        <f t="shared" si="11"/>
        <v/>
      </c>
      <c r="AI39"/>
      <c r="AJ39"/>
      <c r="AK39"/>
      <c r="AL39"/>
    </row>
    <row r="40" spans="1:38" ht="15" customHeight="1" x14ac:dyDescent="0.25">
      <c r="A40" s="148"/>
      <c r="B40" s="182"/>
      <c r="C40" s="182"/>
      <c r="D40" s="144"/>
      <c r="E40" s="41"/>
      <c r="F40" s="134" t="str">
        <f t="shared" si="12"/>
        <v/>
      </c>
      <c r="G40" s="134"/>
      <c r="H40" s="134"/>
      <c r="I40" s="134"/>
      <c r="J40" s="134"/>
      <c r="K40" s="134"/>
      <c r="L40" s="191"/>
      <c r="N40" s="138" t="str">
        <f t="shared" ref="N40" si="40">IF(ISBLANK(A42),"",A42)</f>
        <v/>
      </c>
      <c r="O40" s="139" t="str">
        <f t="shared" si="34"/>
        <v/>
      </c>
      <c r="P40" s="140" t="str">
        <f t="shared" si="34"/>
        <v/>
      </c>
      <c r="Q40" s="189"/>
      <c r="R40" s="202"/>
      <c r="S40" s="40"/>
      <c r="T40"/>
      <c r="U40"/>
      <c r="V40" t="str">
        <f t="shared" si="2"/>
        <v/>
      </c>
      <c r="W40" t="str">
        <f t="shared" si="3"/>
        <v/>
      </c>
      <c r="X40" t="str">
        <f t="shared" si="4"/>
        <v/>
      </c>
      <c r="Y40" t="str">
        <f t="shared" si="5"/>
        <v/>
      </c>
      <c r="Z40" t="str" cm="1">
        <f t="array" ref="Z40">IF(V40="","",
_xlfn.LET(
_xlpm.s, V40,
_xlpm.e, W40,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40" t="str">
        <f t="shared" si="6"/>
        <v/>
      </c>
      <c r="AB40" t="str" cm="1">
        <f t="array" ref="AB40">IF(V40="","",
_xlfn.LET(
_xlpm.active, $Y40&gt;=9-0.000001,
_xlpm.ds, $X40 + 8/24,
_xlpm.de, $X40 + 9/24,
_xlpm.s, MAX($V40, _xlpm.ds),
_xlpm.e, MIN($W40,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40" t="str">
        <f t="shared" si="7"/>
        <v/>
      </c>
      <c r="AD40" t="str" cm="1">
        <f t="array" ref="AD40">IF(V40="","",
_xlfn.LET(
_xlpm.active, $Y40&gt;=18-0.000001,
_xlpm.ds, $X40 + 17/24,
_xlpm.de, $X40 + 18/24,
_xlpm.s, MAX($V40, _xlpm.ds),
_xlpm.e, MIN($W40,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40" t="str">
        <f t="shared" si="8"/>
        <v/>
      </c>
      <c r="AF40" t="str">
        <f t="shared" si="9"/>
        <v/>
      </c>
      <c r="AG40" t="str">
        <f t="shared" si="10"/>
        <v/>
      </c>
      <c r="AH40" t="str">
        <f t="shared" si="11"/>
        <v/>
      </c>
      <c r="AI40"/>
      <c r="AJ40"/>
      <c r="AK40"/>
      <c r="AL40"/>
    </row>
    <row r="41" spans="1:38" ht="15" customHeight="1" x14ac:dyDescent="0.25">
      <c r="A41" s="1" t="str">
        <f t="shared" ref="A41" si="41">IF(A40="","",UPPER(TEXT(A40,"[$-043E]DDDD")))</f>
        <v/>
      </c>
      <c r="B41" s="183"/>
      <c r="C41" s="183"/>
      <c r="D41" s="145"/>
      <c r="E41" s="42"/>
      <c r="F41" s="132" t="str">
        <f t="shared" si="12"/>
        <v/>
      </c>
      <c r="G41" s="132"/>
      <c r="H41" s="132"/>
      <c r="I41" s="132"/>
      <c r="J41" s="132"/>
      <c r="K41" s="133"/>
      <c r="L41" s="191"/>
      <c r="N41" s="141" t="str">
        <f t="shared" ref="N41" si="42">A43</f>
        <v/>
      </c>
      <c r="O41" s="142" t="str">
        <f t="shared" si="34"/>
        <v/>
      </c>
      <c r="P41" s="143" t="str">
        <f t="shared" si="34"/>
        <v/>
      </c>
      <c r="Q41" s="189"/>
      <c r="R41" s="202"/>
      <c r="S41" s="147"/>
      <c r="T41"/>
      <c r="U41"/>
      <c r="V41" t="str">
        <f t="shared" si="2"/>
        <v/>
      </c>
      <c r="W41" t="str">
        <f t="shared" si="3"/>
        <v/>
      </c>
      <c r="X41" t="str">
        <f t="shared" si="4"/>
        <v/>
      </c>
      <c r="Y41" t="str">
        <f t="shared" si="5"/>
        <v/>
      </c>
      <c r="Z41" t="str" cm="1">
        <f t="array" ref="Z41">IF(V41="","",
_xlfn.LET(
_xlpm.s, V41,
_xlpm.e, W41,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41" t="str">
        <f t="shared" si="6"/>
        <v/>
      </c>
      <c r="AB41" t="str" cm="1">
        <f t="array" ref="AB41">IF(V41="","",
_xlfn.LET(
_xlpm.active, $Y41&gt;=9-0.000001,
_xlpm.ds, $X41 + 8/24,
_xlpm.de, $X41 + 9/24,
_xlpm.s, MAX($V41, _xlpm.ds),
_xlpm.e, MIN($W41,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41" t="str">
        <f t="shared" si="7"/>
        <v/>
      </c>
      <c r="AD41" t="str" cm="1">
        <f t="array" ref="AD41">IF(V41="","",
_xlfn.LET(
_xlpm.active, $Y41&gt;=18-0.000001,
_xlpm.ds, $X41 + 17/24,
_xlpm.de, $X41 + 18/24,
_xlpm.s, MAX($V41, _xlpm.ds),
_xlpm.e, MIN($W41,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41" t="str">
        <f t="shared" si="8"/>
        <v/>
      </c>
      <c r="AF41" t="str">
        <f t="shared" si="9"/>
        <v/>
      </c>
      <c r="AG41" t="str">
        <f t="shared" si="10"/>
        <v/>
      </c>
      <c r="AH41" t="str">
        <f t="shared" si="11"/>
        <v/>
      </c>
      <c r="AI41"/>
      <c r="AJ41"/>
      <c r="AK41"/>
      <c r="AL41"/>
    </row>
    <row r="42" spans="1:38" ht="15" customHeight="1" x14ac:dyDescent="0.25">
      <c r="A42" s="148"/>
      <c r="B42" s="182"/>
      <c r="C42" s="182"/>
      <c r="D42" s="144"/>
      <c r="E42" s="41"/>
      <c r="F42" s="134" t="str">
        <f t="shared" si="12"/>
        <v/>
      </c>
      <c r="G42" s="134"/>
      <c r="H42" s="134"/>
      <c r="I42" s="134"/>
      <c r="J42" s="134"/>
      <c r="K42" s="134"/>
      <c r="L42" s="191"/>
      <c r="N42" s="138" t="str">
        <f t="shared" ref="N42" si="43">IF(ISBLANK(A44),"",A44)</f>
        <v/>
      </c>
      <c r="O42" s="139" t="str">
        <f t="shared" si="34"/>
        <v/>
      </c>
      <c r="P42" s="140" t="str">
        <f t="shared" si="34"/>
        <v/>
      </c>
      <c r="Q42" s="189"/>
      <c r="R42" s="202"/>
      <c r="S42" s="40"/>
      <c r="T42"/>
      <c r="U42"/>
      <c r="V42" t="str">
        <f t="shared" si="2"/>
        <v/>
      </c>
      <c r="W42" t="str">
        <f t="shared" si="3"/>
        <v/>
      </c>
      <c r="X42" t="str">
        <f t="shared" si="4"/>
        <v/>
      </c>
      <c r="Y42" t="str">
        <f t="shared" si="5"/>
        <v/>
      </c>
      <c r="Z42" t="str" cm="1">
        <f t="array" ref="Z42">IF(V42="","",
_xlfn.LET(
_xlpm.s, V42,
_xlpm.e, W42,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42" t="str">
        <f t="shared" si="6"/>
        <v/>
      </c>
      <c r="AB42" t="str" cm="1">
        <f t="array" ref="AB42">IF(V42="","",
_xlfn.LET(
_xlpm.active, $Y42&gt;=9-0.000001,
_xlpm.ds, $X42 + 8/24,
_xlpm.de, $X42 + 9/24,
_xlpm.s, MAX($V42, _xlpm.ds),
_xlpm.e, MIN($W42,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42" t="str">
        <f t="shared" si="7"/>
        <v/>
      </c>
      <c r="AD42" t="str" cm="1">
        <f t="array" ref="AD42">IF(V42="","",
_xlfn.LET(
_xlpm.active, $Y42&gt;=18-0.000001,
_xlpm.ds, $X42 + 17/24,
_xlpm.de, $X42 + 18/24,
_xlpm.s, MAX($V42, _xlpm.ds),
_xlpm.e, MIN($W42,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42" t="str">
        <f t="shared" si="8"/>
        <v/>
      </c>
      <c r="AF42" t="str">
        <f t="shared" si="9"/>
        <v/>
      </c>
      <c r="AG42" t="str">
        <f t="shared" si="10"/>
        <v/>
      </c>
      <c r="AH42" t="str">
        <f t="shared" si="11"/>
        <v/>
      </c>
      <c r="AI42"/>
      <c r="AJ42"/>
      <c r="AK42"/>
      <c r="AL42"/>
    </row>
    <row r="43" spans="1:38" ht="15" customHeight="1" x14ac:dyDescent="0.25">
      <c r="A43" s="1" t="str">
        <f t="shared" ref="A43" si="44">IF(A42="","",UPPER(TEXT(A42,"[$-043E]DDDD")))</f>
        <v/>
      </c>
      <c r="B43" s="183"/>
      <c r="C43" s="183"/>
      <c r="D43" s="145"/>
      <c r="E43" s="42"/>
      <c r="F43" s="132" t="str">
        <f t="shared" si="12"/>
        <v/>
      </c>
      <c r="G43" s="132"/>
      <c r="H43" s="132"/>
      <c r="I43" s="132"/>
      <c r="J43" s="132"/>
      <c r="K43" s="133"/>
      <c r="L43" s="191"/>
      <c r="N43" s="141" t="str">
        <f t="shared" ref="N43" si="45">A45</f>
        <v/>
      </c>
      <c r="O43" s="142" t="str">
        <f t="shared" si="34"/>
        <v/>
      </c>
      <c r="P43" s="143" t="str">
        <f t="shared" si="34"/>
        <v/>
      </c>
      <c r="Q43" s="189"/>
      <c r="R43" s="202"/>
      <c r="S43" s="147"/>
      <c r="T43"/>
      <c r="U43"/>
      <c r="V43" t="str">
        <f t="shared" si="2"/>
        <v/>
      </c>
      <c r="W43" t="str">
        <f t="shared" si="3"/>
        <v/>
      </c>
      <c r="X43" t="str">
        <f t="shared" si="4"/>
        <v/>
      </c>
      <c r="Y43" t="str">
        <f t="shared" si="5"/>
        <v/>
      </c>
      <c r="Z43" t="str" cm="1">
        <f t="array" ref="Z43">IF(V43="","",
_xlfn.LET(
_xlpm.s, V43,
_xlpm.e, W43,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43" t="str">
        <f t="shared" si="6"/>
        <v/>
      </c>
      <c r="AB43" t="str" cm="1">
        <f t="array" ref="AB43">IF(V43="","",
_xlfn.LET(
_xlpm.active, $Y43&gt;=9-0.000001,
_xlpm.ds, $X43 + 8/24,
_xlpm.de, $X43 + 9/24,
_xlpm.s, MAX($V43, _xlpm.ds),
_xlpm.e, MIN($W43,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43" t="str">
        <f t="shared" si="7"/>
        <v/>
      </c>
      <c r="AD43" t="str" cm="1">
        <f t="array" ref="AD43">IF(V43="","",
_xlfn.LET(
_xlpm.active, $Y43&gt;=18-0.000001,
_xlpm.ds, $X43 + 17/24,
_xlpm.de, $X43 + 18/24,
_xlpm.s, MAX($V43, _xlpm.ds),
_xlpm.e, MIN($W43,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43" t="str">
        <f t="shared" si="8"/>
        <v/>
      </c>
      <c r="AF43" t="str">
        <f t="shared" si="9"/>
        <v/>
      </c>
      <c r="AG43" t="str">
        <f t="shared" si="10"/>
        <v/>
      </c>
      <c r="AH43" t="str">
        <f t="shared" si="11"/>
        <v/>
      </c>
      <c r="AI43"/>
      <c r="AJ43"/>
      <c r="AK43"/>
      <c r="AL43"/>
    </row>
    <row r="44" spans="1:38" ht="15" customHeight="1" x14ac:dyDescent="0.25">
      <c r="A44" s="148"/>
      <c r="B44" s="182"/>
      <c r="C44" s="182"/>
      <c r="D44" s="144"/>
      <c r="E44" s="41"/>
      <c r="F44" s="134" t="str">
        <f t="shared" si="12"/>
        <v/>
      </c>
      <c r="G44" s="134"/>
      <c r="H44" s="134"/>
      <c r="I44" s="134"/>
      <c r="J44" s="134"/>
      <c r="K44" s="134"/>
      <c r="L44" s="191"/>
      <c r="N44" s="138" t="str">
        <f t="shared" ref="N44" si="46">IF(ISBLANK(A46),"",A46)</f>
        <v/>
      </c>
      <c r="O44" s="139" t="str">
        <f t="shared" si="34"/>
        <v/>
      </c>
      <c r="P44" s="140" t="str">
        <f t="shared" si="34"/>
        <v/>
      </c>
      <c r="Q44" s="189"/>
      <c r="R44" s="202"/>
      <c r="S44" s="40"/>
      <c r="T44"/>
      <c r="U44"/>
      <c r="V44" t="str">
        <f t="shared" si="2"/>
        <v/>
      </c>
      <c r="W44" t="str">
        <f t="shared" si="3"/>
        <v/>
      </c>
      <c r="X44" t="str">
        <f t="shared" si="4"/>
        <v/>
      </c>
      <c r="Y44" t="str">
        <f t="shared" si="5"/>
        <v/>
      </c>
      <c r="Z44" t="str" cm="1">
        <f t="array" ref="Z44">IF(V44="","",
_xlfn.LET(
_xlpm.s, V44,
_xlpm.e, W44,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44" t="str">
        <f t="shared" si="6"/>
        <v/>
      </c>
      <c r="AB44" t="str" cm="1">
        <f t="array" ref="AB44">IF(V44="","",
_xlfn.LET(
_xlpm.active, $Y44&gt;=9-0.000001,
_xlpm.ds, $X44 + 8/24,
_xlpm.de, $X44 + 9/24,
_xlpm.s, MAX($V44, _xlpm.ds),
_xlpm.e, MIN($W44,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44" t="str">
        <f t="shared" si="7"/>
        <v/>
      </c>
      <c r="AD44" t="str" cm="1">
        <f t="array" ref="AD44">IF(V44="","",
_xlfn.LET(
_xlpm.active, $Y44&gt;=18-0.000001,
_xlpm.ds, $X44 + 17/24,
_xlpm.de, $X44 + 18/24,
_xlpm.s, MAX($V44, _xlpm.ds),
_xlpm.e, MIN($W44,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44" t="str">
        <f t="shared" si="8"/>
        <v/>
      </c>
      <c r="AF44" t="str">
        <f t="shared" si="9"/>
        <v/>
      </c>
      <c r="AG44" t="str">
        <f t="shared" si="10"/>
        <v/>
      </c>
      <c r="AH44" t="str">
        <f t="shared" si="11"/>
        <v/>
      </c>
      <c r="AI44"/>
      <c r="AJ44"/>
      <c r="AK44"/>
      <c r="AL44"/>
    </row>
    <row r="45" spans="1:38" ht="15" customHeight="1" x14ac:dyDescent="0.25">
      <c r="A45" s="1" t="str">
        <f t="shared" ref="A45" si="47">IF(A44="","",UPPER(TEXT(A44,"[$-043E]DDDD")))</f>
        <v/>
      </c>
      <c r="B45" s="183"/>
      <c r="C45" s="183"/>
      <c r="D45" s="145"/>
      <c r="E45" s="42"/>
      <c r="F45" s="132" t="str">
        <f t="shared" si="12"/>
        <v/>
      </c>
      <c r="G45" s="132"/>
      <c r="H45" s="132"/>
      <c r="I45" s="132"/>
      <c r="J45" s="132"/>
      <c r="K45" s="133"/>
      <c r="L45" s="191"/>
      <c r="N45" s="141" t="str">
        <f t="shared" ref="N45" si="48">A47</f>
        <v/>
      </c>
      <c r="O45" s="142" t="str">
        <f t="shared" si="34"/>
        <v/>
      </c>
      <c r="P45" s="143" t="str">
        <f t="shared" si="34"/>
        <v/>
      </c>
      <c r="Q45" s="189"/>
      <c r="R45" s="202"/>
      <c r="S45" s="147"/>
      <c r="T45"/>
      <c r="U45"/>
      <c r="V45" t="str">
        <f t="shared" si="2"/>
        <v/>
      </c>
      <c r="W45" t="str">
        <f t="shared" si="3"/>
        <v/>
      </c>
      <c r="X45" t="str">
        <f t="shared" si="4"/>
        <v/>
      </c>
      <c r="Y45" t="str">
        <f t="shared" si="5"/>
        <v/>
      </c>
      <c r="Z45" t="str" cm="1">
        <f t="array" ref="Z45">IF(V45="","",
_xlfn.LET(
_xlpm.s, V45,
_xlpm.e, W45,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45" t="str">
        <f t="shared" si="6"/>
        <v/>
      </c>
      <c r="AB45" t="str" cm="1">
        <f t="array" ref="AB45">IF(V45="","",
_xlfn.LET(
_xlpm.active, $Y45&gt;=9-0.000001,
_xlpm.ds, $X45 + 8/24,
_xlpm.de, $X45 + 9/24,
_xlpm.s, MAX($V45, _xlpm.ds),
_xlpm.e, MIN($W45,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45" t="str">
        <f t="shared" si="7"/>
        <v/>
      </c>
      <c r="AD45" t="str" cm="1">
        <f t="array" ref="AD45">IF(V45="","",
_xlfn.LET(
_xlpm.active, $Y45&gt;=18-0.000001,
_xlpm.ds, $X45 + 17/24,
_xlpm.de, $X45 + 18/24,
_xlpm.s, MAX($V45, _xlpm.ds),
_xlpm.e, MIN($W45,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45" t="str">
        <f t="shared" si="8"/>
        <v/>
      </c>
      <c r="AF45" t="str">
        <f t="shared" si="9"/>
        <v/>
      </c>
      <c r="AG45" t="str">
        <f t="shared" si="10"/>
        <v/>
      </c>
      <c r="AH45" t="str">
        <f t="shared" si="11"/>
        <v/>
      </c>
      <c r="AI45"/>
      <c r="AJ45"/>
      <c r="AK45"/>
      <c r="AL45"/>
    </row>
    <row r="46" spans="1:38" ht="15" customHeight="1" x14ac:dyDescent="0.25">
      <c r="A46" s="148"/>
      <c r="B46" s="182"/>
      <c r="C46" s="182"/>
      <c r="D46" s="144"/>
      <c r="E46" s="41"/>
      <c r="F46" s="134" t="str">
        <f t="shared" si="12"/>
        <v/>
      </c>
      <c r="G46" s="134"/>
      <c r="H46" s="134"/>
      <c r="I46" s="134"/>
      <c r="J46" s="134"/>
      <c r="K46" s="134"/>
      <c r="L46" s="191"/>
      <c r="N46" s="138" t="str">
        <f t="shared" ref="N46" si="49">IF(ISBLANK(A48),"",A48)</f>
        <v/>
      </c>
      <c r="O46" s="139" t="str">
        <f t="shared" si="34"/>
        <v/>
      </c>
      <c r="P46" s="140" t="str">
        <f t="shared" si="34"/>
        <v/>
      </c>
      <c r="Q46" s="189"/>
      <c r="R46" s="202"/>
      <c r="S46" s="40"/>
      <c r="T46"/>
      <c r="U46"/>
      <c r="V46" t="str">
        <f t="shared" si="2"/>
        <v/>
      </c>
      <c r="W46" t="str">
        <f t="shared" si="3"/>
        <v/>
      </c>
      <c r="X46" t="str">
        <f t="shared" si="4"/>
        <v/>
      </c>
      <c r="Y46" t="str">
        <f t="shared" si="5"/>
        <v/>
      </c>
      <c r="Z46" t="str" cm="1">
        <f t="array" ref="Z46">IF(V46="","",
_xlfn.LET(
_xlpm.s, V46,
_xlpm.e, W46,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46" t="str">
        <f t="shared" si="6"/>
        <v/>
      </c>
      <c r="AB46" t="str" cm="1">
        <f t="array" ref="AB46">IF(V46="","",
_xlfn.LET(
_xlpm.active, $Y46&gt;=9-0.000001,
_xlpm.ds, $X46 + 8/24,
_xlpm.de, $X46 + 9/24,
_xlpm.s, MAX($V46, _xlpm.ds),
_xlpm.e, MIN($W46,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46" t="str">
        <f t="shared" si="7"/>
        <v/>
      </c>
      <c r="AD46" t="str" cm="1">
        <f t="array" ref="AD46">IF(V46="","",
_xlfn.LET(
_xlpm.active, $Y46&gt;=18-0.000001,
_xlpm.ds, $X46 + 17/24,
_xlpm.de, $X46 + 18/24,
_xlpm.s, MAX($V46, _xlpm.ds),
_xlpm.e, MIN($W46,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46" t="str">
        <f t="shared" si="8"/>
        <v/>
      </c>
      <c r="AF46" t="str">
        <f t="shared" si="9"/>
        <v/>
      </c>
      <c r="AG46" t="str">
        <f t="shared" si="10"/>
        <v/>
      </c>
      <c r="AH46" t="str">
        <f t="shared" si="11"/>
        <v/>
      </c>
      <c r="AI46"/>
      <c r="AJ46"/>
      <c r="AK46"/>
      <c r="AL46"/>
    </row>
    <row r="47" spans="1:38" ht="15" customHeight="1" x14ac:dyDescent="0.25">
      <c r="A47" s="1" t="str">
        <f t="shared" ref="A47" si="50">IF(A46="","",UPPER(TEXT(A46,"[$-043E]DDDD")))</f>
        <v/>
      </c>
      <c r="B47" s="183"/>
      <c r="C47" s="183"/>
      <c r="D47" s="145"/>
      <c r="E47" s="42"/>
      <c r="F47" s="132" t="str">
        <f t="shared" si="12"/>
        <v/>
      </c>
      <c r="G47" s="132"/>
      <c r="H47" s="132"/>
      <c r="I47" s="132"/>
      <c r="J47" s="132"/>
      <c r="K47" s="133"/>
      <c r="L47" s="191"/>
      <c r="N47" s="141" t="str">
        <f t="shared" ref="N47" si="51">A49</f>
        <v/>
      </c>
      <c r="O47" s="142" t="str">
        <f t="shared" si="34"/>
        <v/>
      </c>
      <c r="P47" s="143" t="str">
        <f t="shared" si="34"/>
        <v/>
      </c>
      <c r="Q47" s="189"/>
      <c r="R47" s="202"/>
      <c r="S47" s="147"/>
      <c r="T47"/>
      <c r="U47"/>
      <c r="V47" t="str">
        <f t="shared" si="2"/>
        <v/>
      </c>
      <c r="W47" t="str">
        <f t="shared" si="3"/>
        <v/>
      </c>
      <c r="X47" t="str">
        <f t="shared" si="4"/>
        <v/>
      </c>
      <c r="Y47" t="str">
        <f t="shared" si="5"/>
        <v/>
      </c>
      <c r="Z47" t="str" cm="1">
        <f t="array" ref="Z47">IF(V47="","",
_xlfn.LET(
_xlpm.s, V47,
_xlpm.e, W47,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47" t="str">
        <f t="shared" si="6"/>
        <v/>
      </c>
      <c r="AB47" t="str" cm="1">
        <f t="array" ref="AB47">IF(V47="","",
_xlfn.LET(
_xlpm.active, $Y47&gt;=9-0.000001,
_xlpm.ds, $X47 + 8/24,
_xlpm.de, $X47 + 9/24,
_xlpm.s, MAX($V47, _xlpm.ds),
_xlpm.e, MIN($W47,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47" t="str">
        <f t="shared" si="7"/>
        <v/>
      </c>
      <c r="AD47" t="str" cm="1">
        <f t="array" ref="AD47">IF(V47="","",
_xlfn.LET(
_xlpm.active, $Y47&gt;=18-0.000001,
_xlpm.ds, $X47 + 17/24,
_xlpm.de, $X47 + 18/24,
_xlpm.s, MAX($V47, _xlpm.ds),
_xlpm.e, MIN($W47,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47" t="str">
        <f t="shared" si="8"/>
        <v/>
      </c>
      <c r="AF47" t="str">
        <f t="shared" si="9"/>
        <v/>
      </c>
      <c r="AG47" t="str">
        <f t="shared" si="10"/>
        <v/>
      </c>
      <c r="AH47" t="str">
        <f t="shared" si="11"/>
        <v/>
      </c>
      <c r="AI47"/>
      <c r="AJ47"/>
      <c r="AK47"/>
      <c r="AL47"/>
    </row>
    <row r="48" spans="1:38" ht="15" customHeight="1" x14ac:dyDescent="0.25">
      <c r="A48" s="148"/>
      <c r="B48" s="182"/>
      <c r="C48" s="182"/>
      <c r="D48" s="144"/>
      <c r="E48" s="41"/>
      <c r="F48" s="134" t="str">
        <f t="shared" si="12"/>
        <v/>
      </c>
      <c r="G48" s="134"/>
      <c r="H48" s="134"/>
      <c r="I48" s="134"/>
      <c r="J48" s="134"/>
      <c r="K48" s="134"/>
      <c r="L48" s="191"/>
      <c r="N48" s="138" t="str">
        <f t="shared" ref="N48" si="52">IF(ISBLANK(A50),"",A50)</f>
        <v/>
      </c>
      <c r="O48" s="139" t="str">
        <f t="shared" si="34"/>
        <v/>
      </c>
      <c r="P48" s="140" t="str">
        <f t="shared" si="34"/>
        <v/>
      </c>
      <c r="Q48" s="189"/>
      <c r="R48" s="202"/>
      <c r="S48" s="40"/>
      <c r="T48"/>
      <c r="U48"/>
      <c r="V48" t="str">
        <f t="shared" si="2"/>
        <v/>
      </c>
      <c r="W48" t="str">
        <f t="shared" si="3"/>
        <v/>
      </c>
      <c r="X48" t="str">
        <f t="shared" si="4"/>
        <v/>
      </c>
      <c r="Y48" t="str">
        <f t="shared" si="5"/>
        <v/>
      </c>
      <c r="Z48" t="str" cm="1">
        <f t="array" ref="Z48">IF(V48="","",
_xlfn.LET(
_xlpm.s, V48,
_xlpm.e, W48,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48" t="str">
        <f t="shared" si="6"/>
        <v/>
      </c>
      <c r="AB48" t="str" cm="1">
        <f t="array" ref="AB48">IF(V48="","",
_xlfn.LET(
_xlpm.active, $Y48&gt;=9-0.000001,
_xlpm.ds, $X48 + 8/24,
_xlpm.de, $X48 + 9/24,
_xlpm.s, MAX($V48, _xlpm.ds),
_xlpm.e, MIN($W48,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48" t="str">
        <f t="shared" si="7"/>
        <v/>
      </c>
      <c r="AD48" t="str" cm="1">
        <f t="array" ref="AD48">IF(V48="","",
_xlfn.LET(
_xlpm.active, $Y48&gt;=18-0.000001,
_xlpm.ds, $X48 + 17/24,
_xlpm.de, $X48 + 18/24,
_xlpm.s, MAX($V48, _xlpm.ds),
_xlpm.e, MIN($W48,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48" t="str">
        <f t="shared" si="8"/>
        <v/>
      </c>
      <c r="AF48" t="str">
        <f t="shared" si="9"/>
        <v/>
      </c>
      <c r="AG48" t="str">
        <f t="shared" si="10"/>
        <v/>
      </c>
      <c r="AH48" t="str">
        <f t="shared" si="11"/>
        <v/>
      </c>
      <c r="AI48"/>
      <c r="AJ48"/>
      <c r="AK48"/>
      <c r="AL48"/>
    </row>
    <row r="49" spans="1:38" ht="15" customHeight="1" x14ac:dyDescent="0.25">
      <c r="A49" s="1" t="str">
        <f t="shared" ref="A49" si="53">IF(A48="","",UPPER(TEXT(A48,"[$-043E]DDDD")))</f>
        <v/>
      </c>
      <c r="B49" s="183"/>
      <c r="C49" s="183"/>
      <c r="D49" s="145"/>
      <c r="E49" s="42"/>
      <c r="F49" s="132" t="str">
        <f t="shared" si="12"/>
        <v/>
      </c>
      <c r="G49" s="132"/>
      <c r="H49" s="132"/>
      <c r="I49" s="132"/>
      <c r="J49" s="132"/>
      <c r="K49" s="133"/>
      <c r="L49" s="191"/>
      <c r="N49" s="141" t="str">
        <f t="shared" ref="N49" si="54">A51</f>
        <v/>
      </c>
      <c r="O49" s="142" t="str">
        <f t="shared" si="34"/>
        <v/>
      </c>
      <c r="P49" s="143" t="str">
        <f t="shared" si="34"/>
        <v/>
      </c>
      <c r="Q49" s="189"/>
      <c r="R49" s="202"/>
      <c r="S49" s="147"/>
      <c r="T49"/>
      <c r="U49"/>
      <c r="V49" t="str">
        <f t="shared" si="2"/>
        <v/>
      </c>
      <c r="W49" t="str">
        <f t="shared" si="3"/>
        <v/>
      </c>
      <c r="X49" t="str">
        <f t="shared" si="4"/>
        <v/>
      </c>
      <c r="Y49" t="str">
        <f t="shared" si="5"/>
        <v/>
      </c>
      <c r="Z49" t="str" cm="1">
        <f t="array" ref="Z49">IF(V49="","",
_xlfn.LET(
_xlpm.s, V49,
_xlpm.e, W49,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49" t="str">
        <f t="shared" si="6"/>
        <v/>
      </c>
      <c r="AB49" t="str" cm="1">
        <f t="array" ref="AB49">IF(V49="","",
_xlfn.LET(
_xlpm.active, $Y49&gt;=9-0.000001,
_xlpm.ds, $X49 + 8/24,
_xlpm.de, $X49 + 9/24,
_xlpm.s, MAX($V49, _xlpm.ds),
_xlpm.e, MIN($W49,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49" t="str">
        <f t="shared" si="7"/>
        <v/>
      </c>
      <c r="AD49" t="str" cm="1">
        <f t="array" ref="AD49">IF(V49="","",
_xlfn.LET(
_xlpm.active, $Y49&gt;=18-0.000001,
_xlpm.ds, $X49 + 17/24,
_xlpm.de, $X49 + 18/24,
_xlpm.s, MAX($V49, _xlpm.ds),
_xlpm.e, MIN($W49,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49" t="str">
        <f t="shared" si="8"/>
        <v/>
      </c>
      <c r="AF49" t="str">
        <f t="shared" si="9"/>
        <v/>
      </c>
      <c r="AG49" t="str">
        <f t="shared" si="10"/>
        <v/>
      </c>
      <c r="AH49" t="str">
        <f t="shared" si="11"/>
        <v/>
      </c>
      <c r="AI49"/>
      <c r="AJ49"/>
      <c r="AK49"/>
      <c r="AL49"/>
    </row>
    <row r="50" spans="1:38" ht="15" customHeight="1" x14ac:dyDescent="0.25">
      <c r="A50" s="148"/>
      <c r="B50" s="182"/>
      <c r="C50" s="182"/>
      <c r="D50" s="144"/>
      <c r="E50" s="41"/>
      <c r="F50" s="134" t="str">
        <f t="shared" si="12"/>
        <v/>
      </c>
      <c r="G50" s="134"/>
      <c r="H50" s="134"/>
      <c r="I50" s="134"/>
      <c r="J50" s="134"/>
      <c r="K50" s="134"/>
      <c r="L50" s="191"/>
      <c r="N50" s="138" t="str">
        <f t="shared" ref="N50" si="55">IF(ISBLANK(A52),"",A52)</f>
        <v/>
      </c>
      <c r="O50" s="139" t="str">
        <f t="shared" si="34"/>
        <v/>
      </c>
      <c r="P50" s="140" t="str">
        <f t="shared" si="34"/>
        <v/>
      </c>
      <c r="Q50" s="189"/>
      <c r="R50" s="202"/>
      <c r="S50" s="40"/>
      <c r="T50"/>
      <c r="U50"/>
      <c r="V50" t="str">
        <f t="shared" si="2"/>
        <v/>
      </c>
      <c r="W50" t="str">
        <f t="shared" si="3"/>
        <v/>
      </c>
      <c r="X50" t="str">
        <f t="shared" si="4"/>
        <v/>
      </c>
      <c r="Y50" t="str">
        <f t="shared" si="5"/>
        <v/>
      </c>
      <c r="Z50" t="str" cm="1">
        <f t="array" ref="Z50">IF(V50="","",
_xlfn.LET(
_xlpm.s, V50,
_xlpm.e, W50,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50" t="str">
        <f t="shared" si="6"/>
        <v/>
      </c>
      <c r="AB50" t="str" cm="1">
        <f t="array" ref="AB50">IF(V50="","",
_xlfn.LET(
_xlpm.active, $Y50&gt;=9-0.000001,
_xlpm.ds, $X50 + 8/24,
_xlpm.de, $X50 + 9/24,
_xlpm.s, MAX($V50, _xlpm.ds),
_xlpm.e, MIN($W50,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50" t="str">
        <f t="shared" si="7"/>
        <v/>
      </c>
      <c r="AD50" t="str" cm="1">
        <f t="array" ref="AD50">IF(V50="","",
_xlfn.LET(
_xlpm.active, $Y50&gt;=18-0.000001,
_xlpm.ds, $X50 + 17/24,
_xlpm.de, $X50 + 18/24,
_xlpm.s, MAX($V50, _xlpm.ds),
_xlpm.e, MIN($W50,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50" t="str">
        <f t="shared" si="8"/>
        <v/>
      </c>
      <c r="AF50" t="str">
        <f t="shared" si="9"/>
        <v/>
      </c>
      <c r="AG50" t="str">
        <f t="shared" si="10"/>
        <v/>
      </c>
      <c r="AH50" t="str">
        <f t="shared" si="11"/>
        <v/>
      </c>
      <c r="AI50"/>
      <c r="AJ50"/>
      <c r="AK50"/>
      <c r="AL50"/>
    </row>
    <row r="51" spans="1:38" ht="15" customHeight="1" x14ac:dyDescent="0.25">
      <c r="A51" s="1" t="str">
        <f t="shared" ref="A51" si="56">IF(A50="","",UPPER(TEXT(A50,"[$-043E]DDDD")))</f>
        <v/>
      </c>
      <c r="B51" s="183"/>
      <c r="C51" s="183"/>
      <c r="D51" s="145"/>
      <c r="E51" s="42"/>
      <c r="F51" s="132" t="str">
        <f t="shared" si="12"/>
        <v/>
      </c>
      <c r="G51" s="132"/>
      <c r="H51" s="132"/>
      <c r="I51" s="132"/>
      <c r="J51" s="132"/>
      <c r="K51" s="133"/>
      <c r="L51" s="191"/>
      <c r="N51" s="141" t="str">
        <f t="shared" ref="N51" si="57">A53</f>
        <v/>
      </c>
      <c r="O51" s="142" t="str">
        <f t="shared" si="34"/>
        <v/>
      </c>
      <c r="P51" s="143" t="str">
        <f t="shared" si="34"/>
        <v/>
      </c>
      <c r="Q51" s="189"/>
      <c r="R51" s="202"/>
      <c r="S51" s="147"/>
      <c r="T51"/>
      <c r="U51"/>
      <c r="V51" t="str">
        <f t="shared" si="2"/>
        <v/>
      </c>
      <c r="W51" t="str">
        <f t="shared" si="3"/>
        <v/>
      </c>
      <c r="X51" t="str">
        <f t="shared" si="4"/>
        <v/>
      </c>
      <c r="Y51" t="str">
        <f t="shared" si="5"/>
        <v/>
      </c>
      <c r="Z51" t="str" cm="1">
        <f t="array" ref="Z51">IF(V51="","",
_xlfn.LET(
_xlpm.s, V51,
_xlpm.e, W51,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51" t="str">
        <f t="shared" si="6"/>
        <v/>
      </c>
      <c r="AB51" t="str" cm="1">
        <f t="array" ref="AB51">IF(V51="","",
_xlfn.LET(
_xlpm.active, $Y51&gt;=9-0.000001,
_xlpm.ds, $X51 + 8/24,
_xlpm.de, $X51 + 9/24,
_xlpm.s, MAX($V51, _xlpm.ds),
_xlpm.e, MIN($W51,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51" t="str">
        <f t="shared" si="7"/>
        <v/>
      </c>
      <c r="AD51" t="str" cm="1">
        <f t="array" ref="AD51">IF(V51="","",
_xlfn.LET(
_xlpm.active, $Y51&gt;=18-0.000001,
_xlpm.ds, $X51 + 17/24,
_xlpm.de, $X51 + 18/24,
_xlpm.s, MAX($V51, _xlpm.ds),
_xlpm.e, MIN($W51,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51" t="str">
        <f t="shared" si="8"/>
        <v/>
      </c>
      <c r="AF51" t="str">
        <f t="shared" si="9"/>
        <v/>
      </c>
      <c r="AG51" t="str">
        <f t="shared" si="10"/>
        <v/>
      </c>
      <c r="AH51" t="str">
        <f t="shared" si="11"/>
        <v/>
      </c>
      <c r="AI51"/>
      <c r="AJ51"/>
      <c r="AK51"/>
      <c r="AL51"/>
    </row>
    <row r="52" spans="1:38" ht="15" customHeight="1" x14ac:dyDescent="0.25">
      <c r="A52" s="148"/>
      <c r="B52" s="182"/>
      <c r="C52" s="182"/>
      <c r="D52" s="144"/>
      <c r="E52" s="41"/>
      <c r="F52" s="134" t="str">
        <f t="shared" si="12"/>
        <v/>
      </c>
      <c r="G52" s="134"/>
      <c r="H52" s="134"/>
      <c r="I52" s="134"/>
      <c r="J52" s="134"/>
      <c r="K52" s="134"/>
      <c r="L52" s="191"/>
      <c r="N52" s="138"/>
      <c r="O52" s="139" t="str">
        <f t="shared" ref="O52:P53" si="58">IF(ISBLANK(D54),"",D54)</f>
        <v/>
      </c>
      <c r="P52" s="140" t="str">
        <f t="shared" si="58"/>
        <v/>
      </c>
      <c r="Q52" s="189"/>
      <c r="R52" s="202"/>
      <c r="S52" s="40"/>
      <c r="T52"/>
      <c r="U52"/>
      <c r="V52" t="str">
        <f t="shared" si="2"/>
        <v/>
      </c>
      <c r="W52" t="str">
        <f t="shared" si="3"/>
        <v/>
      </c>
      <c r="X52" t="str">
        <f t="shared" si="4"/>
        <v/>
      </c>
      <c r="Y52" t="str">
        <f t="shared" si="5"/>
        <v/>
      </c>
      <c r="Z52" t="str" cm="1">
        <f t="array" ref="Z52">IF(V52="","",
_xlfn.LET(
_xlpm.s, V52,
_xlpm.e, W52,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52" t="str">
        <f t="shared" si="6"/>
        <v/>
      </c>
      <c r="AB52" t="str" cm="1">
        <f t="array" ref="AB52">IF(V52="","",
_xlfn.LET(
_xlpm.active, $Y52&gt;=9-0.000001,
_xlpm.ds, $X52 + 8/24,
_xlpm.de, $X52 + 9/24,
_xlpm.s, MAX($V52, _xlpm.ds),
_xlpm.e, MIN($W52,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52" t="str">
        <f t="shared" si="7"/>
        <v/>
      </c>
      <c r="AD52" t="str" cm="1">
        <f t="array" ref="AD52">IF(V52="","",
_xlfn.LET(
_xlpm.active, $Y52&gt;=18-0.000001,
_xlpm.ds, $X52 + 17/24,
_xlpm.de, $X52 + 18/24,
_xlpm.s, MAX($V52, _xlpm.ds),
_xlpm.e, MIN($W52,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52" t="str">
        <f t="shared" si="8"/>
        <v/>
      </c>
      <c r="AF52" t="str">
        <f t="shared" si="9"/>
        <v/>
      </c>
      <c r="AG52" t="str">
        <f t="shared" si="10"/>
        <v/>
      </c>
      <c r="AH52" t="str">
        <f t="shared" si="11"/>
        <v/>
      </c>
      <c r="AI52"/>
      <c r="AJ52"/>
      <c r="AK52"/>
      <c r="AL52"/>
    </row>
    <row r="53" spans="1:38" ht="15" customHeight="1" x14ac:dyDescent="0.25">
      <c r="A53" s="1" t="str">
        <f t="shared" ref="A53" si="59">IF(A52="","",UPPER(TEXT(A52,"[$-043E]DDDD")))</f>
        <v/>
      </c>
      <c r="B53" s="183"/>
      <c r="C53" s="183"/>
      <c r="D53" s="145"/>
      <c r="E53" s="42"/>
      <c r="F53" s="132" t="str">
        <f t="shared" si="12"/>
        <v/>
      </c>
      <c r="G53" s="132"/>
      <c r="H53" s="132"/>
      <c r="I53" s="132"/>
      <c r="J53" s="132"/>
      <c r="K53" s="133"/>
      <c r="L53" s="192"/>
      <c r="N53" s="141"/>
      <c r="O53" s="142" t="str">
        <f t="shared" si="58"/>
        <v/>
      </c>
      <c r="P53" s="143" t="str">
        <f t="shared" si="58"/>
        <v/>
      </c>
      <c r="Q53" s="190"/>
      <c r="R53" s="203"/>
      <c r="S53" s="147"/>
      <c r="T53"/>
      <c r="U53"/>
      <c r="V53" t="str">
        <f t="shared" si="2"/>
        <v/>
      </c>
      <c r="W53" t="str">
        <f t="shared" si="3"/>
        <v/>
      </c>
      <c r="X53" t="str">
        <f t="shared" si="4"/>
        <v/>
      </c>
      <c r="Y53" t="str">
        <f t="shared" si="5"/>
        <v/>
      </c>
      <c r="Z53" t="str" cm="1">
        <f t="array" ref="Z53">IF(V53="","",
_xlfn.LET(
_xlpm.s, V53,
_xlpm.e, W53,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53" t="str">
        <f t="shared" si="6"/>
        <v/>
      </c>
      <c r="AB53" t="str" cm="1">
        <f t="array" ref="AB53">IF(V53="","",
_xlfn.LET(
_xlpm.active, $Y53&gt;=9-0.000001,
_xlpm.ds, $X53 + 8/24,
_xlpm.de, $X53 + 9/24,
_xlpm.s, MAX($V53, _xlpm.ds),
_xlpm.e, MIN($W53,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53" t="str">
        <f t="shared" si="7"/>
        <v/>
      </c>
      <c r="AD53" t="str" cm="1">
        <f t="array" ref="AD53">IF(V53="","",
_xlfn.LET(
_xlpm.active, $Y53&gt;=18-0.000001,
_xlpm.ds, $X53 + 17/24,
_xlpm.de, $X53 + 18/24,
_xlpm.s, MAX($V53, _xlpm.ds),
_xlpm.e, MIN($W53,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53" t="str">
        <f t="shared" si="8"/>
        <v/>
      </c>
      <c r="AF53" t="str">
        <f t="shared" si="9"/>
        <v/>
      </c>
      <c r="AG53" t="str">
        <f t="shared" si="10"/>
        <v/>
      </c>
      <c r="AH53" t="str">
        <f t="shared" si="11"/>
        <v/>
      </c>
      <c r="AI53"/>
      <c r="AJ53"/>
      <c r="AK53"/>
      <c r="AL53"/>
    </row>
    <row r="54" spans="1:38" ht="15.75" thickBot="1" x14ac:dyDescent="0.3">
      <c r="A54" s="43"/>
      <c r="B54" s="44"/>
      <c r="C54" s="44"/>
      <c r="D54" s="45"/>
      <c r="E54" s="44"/>
      <c r="F54" s="2">
        <f>SUM(F20:F53)</f>
        <v>0</v>
      </c>
      <c r="G54" s="2">
        <f t="shared" ref="G54:K54" si="60">SUM(G18:G53)</f>
        <v>0</v>
      </c>
      <c r="H54" s="2">
        <f t="shared" si="60"/>
        <v>0</v>
      </c>
      <c r="I54" s="2">
        <f t="shared" si="60"/>
        <v>0</v>
      </c>
      <c r="J54" s="2">
        <f t="shared" si="60"/>
        <v>0</v>
      </c>
      <c r="K54" s="8">
        <f t="shared" si="60"/>
        <v>0</v>
      </c>
      <c r="L54" s="3"/>
      <c r="N54" s="46"/>
      <c r="O54" s="46"/>
      <c r="P54" s="47"/>
      <c r="Q54" s="48"/>
      <c r="S54" s="46"/>
    </row>
    <row r="55" spans="1:38" ht="15.75" thickBot="1" x14ac:dyDescent="0.3">
      <c r="A55" s="49"/>
      <c r="B55" s="45"/>
      <c r="C55" s="45"/>
      <c r="D55" s="44"/>
      <c r="E55" s="44"/>
      <c r="F55" s="4"/>
      <c r="G55" s="5">
        <f>G54*G17</f>
        <v>0</v>
      </c>
      <c r="H55" s="5">
        <f>H54*H17</f>
        <v>0</v>
      </c>
      <c r="I55" s="5">
        <f>I54*I17</f>
        <v>0</v>
      </c>
      <c r="J55" s="5">
        <f>J54*J17</f>
        <v>0</v>
      </c>
      <c r="K55" s="5">
        <f>K54*K17</f>
        <v>0</v>
      </c>
      <c r="L55" s="3"/>
      <c r="P55" s="51"/>
      <c r="Q55" s="48"/>
    </row>
    <row r="56" spans="1:38" ht="15.75" thickTop="1" x14ac:dyDescent="0.25">
      <c r="A56" s="49"/>
      <c r="B56" s="45"/>
      <c r="C56" s="45"/>
      <c r="D56" s="44"/>
      <c r="E56" s="44"/>
      <c r="F56" s="50"/>
      <c r="G56" s="50"/>
      <c r="H56" s="50"/>
      <c r="I56" s="50"/>
      <c r="J56" s="50"/>
      <c r="K56" s="50"/>
      <c r="L56" s="3"/>
      <c r="P56" s="51"/>
      <c r="Q56" s="48"/>
    </row>
    <row r="57" spans="1:38" x14ac:dyDescent="0.25">
      <c r="A57" s="49"/>
      <c r="B57" s="45"/>
      <c r="C57" s="45"/>
      <c r="D57" s="44"/>
      <c r="E57" s="44"/>
      <c r="F57" s="52"/>
      <c r="G57" s="52"/>
      <c r="H57" s="52"/>
      <c r="I57" s="52"/>
      <c r="J57" s="52"/>
      <c r="K57" s="52"/>
      <c r="L57" s="3"/>
      <c r="P57" s="51"/>
      <c r="Q57" s="48"/>
    </row>
    <row r="58" spans="1:38" x14ac:dyDescent="0.25">
      <c r="A58" s="49"/>
      <c r="B58" s="45" t="s">
        <v>28</v>
      </c>
      <c r="C58" s="45"/>
      <c r="D58" s="44"/>
      <c r="E58" s="44"/>
      <c r="F58" s="135">
        <f>SUM(G55:K55)</f>
        <v>0</v>
      </c>
      <c r="G58" s="204"/>
      <c r="H58" s="204"/>
      <c r="I58" s="53" t="s">
        <v>29</v>
      </c>
      <c r="J58" s="53"/>
      <c r="K58" s="53" t="s">
        <v>30</v>
      </c>
      <c r="L58" s="3"/>
      <c r="P58" s="51"/>
      <c r="Q58" s="48"/>
    </row>
    <row r="59" spans="1:38" ht="15.75" thickBot="1" x14ac:dyDescent="0.3">
      <c r="A59" s="49"/>
      <c r="B59" s="45" t="s">
        <v>31</v>
      </c>
      <c r="C59" s="44"/>
      <c r="D59" s="44"/>
      <c r="E59" s="44" t="s">
        <v>32</v>
      </c>
      <c r="F59" s="136">
        <f>L9</f>
        <v>0</v>
      </c>
      <c r="G59" s="204"/>
      <c r="H59" s="204"/>
      <c r="I59" s="53"/>
      <c r="J59" s="53"/>
      <c r="K59" s="53"/>
      <c r="L59" s="3"/>
      <c r="P59" s="51"/>
      <c r="Q59" s="48"/>
    </row>
    <row r="60" spans="1:38" ht="16.5" thickTop="1" thickBot="1" x14ac:dyDescent="0.3">
      <c r="A60" s="54"/>
      <c r="B60" s="45" t="s">
        <v>33</v>
      </c>
      <c r="C60" s="44"/>
      <c r="D60" s="44"/>
      <c r="E60" s="44" t="s">
        <v>32</v>
      </c>
      <c r="F60" s="137">
        <f>+F58*F59</f>
        <v>0</v>
      </c>
      <c r="G60" s="55"/>
      <c r="H60" s="56"/>
      <c r="I60" s="54"/>
      <c r="J60" s="54"/>
      <c r="K60" s="57"/>
      <c r="L60" s="3"/>
      <c r="P60" s="51"/>
      <c r="Q60" s="48"/>
    </row>
    <row r="61" spans="1:38" ht="15.75" thickTop="1" x14ac:dyDescent="0.25">
      <c r="A61" s="54"/>
      <c r="B61" s="44"/>
      <c r="C61" s="44"/>
      <c r="D61" s="54"/>
      <c r="E61" s="54"/>
      <c r="F61" s="58"/>
      <c r="G61" s="59"/>
      <c r="H61" s="54"/>
      <c r="I61" s="54"/>
      <c r="J61" s="54"/>
      <c r="K61" s="54"/>
      <c r="L61" s="3"/>
      <c r="P61" s="51"/>
      <c r="Q61" s="48"/>
    </row>
    <row r="62" spans="1:38" x14ac:dyDescent="0.25">
      <c r="A62" s="60"/>
      <c r="B62" s="44" t="s">
        <v>34</v>
      </c>
      <c r="C62" s="61"/>
      <c r="D62" s="62"/>
      <c r="E62" s="62"/>
      <c r="F62" s="63"/>
      <c r="G62" s="63"/>
      <c r="H62" s="62"/>
      <c r="I62" s="62"/>
      <c r="J62" s="62"/>
      <c r="K62" s="62"/>
      <c r="L62" s="3"/>
    </row>
    <row r="63" spans="1:38" x14ac:dyDescent="0.25">
      <c r="A63" s="54"/>
      <c r="B63" s="61"/>
      <c r="C63" s="205" t="s">
        <v>35</v>
      </c>
      <c r="D63" s="205"/>
      <c r="E63" s="205"/>
      <c r="F63" s="205"/>
      <c r="G63" s="205"/>
      <c r="H63" s="205"/>
      <c r="I63" s="205"/>
      <c r="J63" s="205"/>
      <c r="K63" s="205"/>
      <c r="L63" s="3"/>
    </row>
    <row r="64" spans="1:38" x14ac:dyDescent="0.25">
      <c r="A64" s="54"/>
      <c r="B64" s="61"/>
      <c r="C64" s="205"/>
      <c r="D64" s="205"/>
      <c r="E64" s="205"/>
      <c r="F64" s="205"/>
      <c r="G64" s="205"/>
      <c r="H64" s="205"/>
      <c r="I64" s="205"/>
      <c r="J64" s="205"/>
      <c r="K64" s="205"/>
      <c r="L64" s="3"/>
    </row>
    <row r="65" spans="1:29" x14ac:dyDescent="0.25">
      <c r="A65" s="54"/>
      <c r="B65" s="44"/>
      <c r="C65" s="65"/>
      <c r="D65" s="64"/>
      <c r="E65" s="64"/>
      <c r="F65" s="63"/>
      <c r="G65" s="63"/>
      <c r="H65" s="64"/>
      <c r="I65" s="64"/>
      <c r="J65" s="64"/>
      <c r="K65" s="64"/>
      <c r="L65" s="3"/>
    </row>
    <row r="66" spans="1:29" x14ac:dyDescent="0.25">
      <c r="A66" s="11"/>
      <c r="B66" s="12"/>
      <c r="C66" s="12"/>
      <c r="D66" s="11"/>
      <c r="E66" s="11"/>
      <c r="F66" s="13"/>
      <c r="G66" s="14"/>
      <c r="H66" s="11"/>
      <c r="I66" s="11"/>
      <c r="J66" s="11"/>
      <c r="K66" s="11"/>
      <c r="L66" s="3"/>
      <c r="S66" s="66" t="s">
        <v>65</v>
      </c>
    </row>
    <row r="67" spans="1:29" x14ac:dyDescent="0.25">
      <c r="A67" s="11"/>
      <c r="B67" s="12"/>
      <c r="C67" s="12"/>
      <c r="D67" s="11"/>
      <c r="E67" s="11"/>
      <c r="F67" s="13"/>
      <c r="G67" s="14"/>
      <c r="H67" s="11"/>
      <c r="I67" s="11"/>
      <c r="J67" s="11"/>
      <c r="K67" s="11"/>
      <c r="L67" s="3"/>
      <c r="S67" s="67" t="s">
        <v>66</v>
      </c>
    </row>
    <row r="68" spans="1:29" ht="18.75" x14ac:dyDescent="0.3">
      <c r="A68" s="68" t="s">
        <v>36</v>
      </c>
      <c r="B68" s="45" t="s">
        <v>37</v>
      </c>
      <c r="C68" s="44"/>
      <c r="D68" s="44"/>
      <c r="E68" s="44"/>
      <c r="F68" s="58"/>
      <c r="G68" s="58"/>
      <c r="H68" s="44"/>
      <c r="I68" s="44"/>
      <c r="J68" s="44"/>
      <c r="K68" s="64"/>
      <c r="L68" s="3"/>
      <c r="S68" s="69"/>
    </row>
    <row r="69" spans="1:29" x14ac:dyDescent="0.25">
      <c r="A69" s="54"/>
      <c r="B69" s="44"/>
      <c r="C69" s="65"/>
      <c r="D69" s="64"/>
      <c r="E69" s="64"/>
      <c r="F69" s="63"/>
      <c r="G69" s="63"/>
      <c r="H69" s="64"/>
      <c r="I69" s="64"/>
      <c r="J69" s="64"/>
      <c r="K69" s="64"/>
      <c r="L69" s="3"/>
    </row>
    <row r="70" spans="1:29" x14ac:dyDescent="0.25">
      <c r="A70" s="54"/>
      <c r="B70" s="44"/>
      <c r="C70" s="65"/>
      <c r="D70" s="64"/>
      <c r="E70" s="64"/>
      <c r="F70" s="63"/>
      <c r="G70" s="63"/>
      <c r="H70" s="64"/>
      <c r="I70" s="64"/>
      <c r="J70" s="64"/>
      <c r="K70" s="64"/>
      <c r="L70" s="3"/>
    </row>
    <row r="71" spans="1:29" ht="20.25" x14ac:dyDescent="0.25">
      <c r="A71" s="54"/>
      <c r="B71" s="44"/>
      <c r="C71" s="65"/>
      <c r="D71" s="64"/>
      <c r="E71" s="64"/>
      <c r="F71" s="63"/>
      <c r="G71" s="63"/>
      <c r="H71" s="64"/>
      <c r="I71" s="64"/>
      <c r="J71" s="64"/>
      <c r="K71" s="64"/>
      <c r="L71" s="3"/>
      <c r="N71" s="200" t="s">
        <v>91</v>
      </c>
      <c r="O71" s="200"/>
      <c r="P71" s="200"/>
      <c r="Q71" s="200"/>
      <c r="R71" s="200"/>
      <c r="S71" s="200"/>
      <c r="T71" s="70"/>
      <c r="U71" s="70"/>
      <c r="V71" s="70"/>
      <c r="W71" s="70"/>
      <c r="X71" s="70"/>
      <c r="Y71" s="70"/>
      <c r="Z71" s="70"/>
      <c r="AA71" s="70"/>
    </row>
    <row r="72" spans="1:29" ht="20.25" x14ac:dyDescent="0.25">
      <c r="A72" s="54"/>
      <c r="B72" s="45"/>
      <c r="C72" s="45" t="s">
        <v>38</v>
      </c>
      <c r="D72" s="54"/>
      <c r="E72" s="54"/>
      <c r="F72" s="59"/>
      <c r="G72" s="59"/>
      <c r="H72" s="54"/>
      <c r="I72" s="54"/>
      <c r="J72" s="64"/>
      <c r="K72" s="64"/>
      <c r="L72" s="3"/>
      <c r="N72" s="200" t="s">
        <v>92</v>
      </c>
      <c r="O72" s="200"/>
      <c r="P72" s="200"/>
      <c r="Q72" s="200"/>
      <c r="R72" s="200"/>
      <c r="S72" s="200"/>
      <c r="T72" s="70"/>
      <c r="U72" s="70"/>
      <c r="V72" s="70"/>
      <c r="W72" s="70"/>
      <c r="X72" s="70"/>
      <c r="Y72" s="70"/>
      <c r="Z72" s="70"/>
      <c r="AA72" s="70"/>
    </row>
    <row r="73" spans="1:29" ht="16.5" x14ac:dyDescent="0.25">
      <c r="A73" s="54"/>
      <c r="B73" s="71"/>
      <c r="C73" s="71" t="s">
        <v>110</v>
      </c>
      <c r="D73" s="72"/>
      <c r="E73" s="73" t="s">
        <v>5</v>
      </c>
      <c r="F73" s="74"/>
      <c r="G73" s="74"/>
      <c r="H73" s="75"/>
      <c r="I73" s="75"/>
      <c r="J73" s="64"/>
      <c r="K73" s="64"/>
      <c r="L73" s="3"/>
      <c r="N73" s="207"/>
      <c r="O73" s="207"/>
      <c r="P73" s="207"/>
      <c r="Q73" s="207"/>
      <c r="R73" s="207"/>
      <c r="S73" s="207"/>
      <c r="T73" s="70"/>
      <c r="U73" s="70"/>
      <c r="V73" s="70"/>
      <c r="W73" s="70"/>
      <c r="X73" s="70"/>
      <c r="Y73" s="70"/>
      <c r="Z73" s="70"/>
      <c r="AA73" s="70"/>
    </row>
    <row r="74" spans="1:29" x14ac:dyDescent="0.25">
      <c r="A74" s="54"/>
      <c r="B74" s="44"/>
      <c r="C74" s="44"/>
      <c r="D74" s="44"/>
      <c r="E74" s="76"/>
      <c r="F74" s="77"/>
      <c r="G74" s="78"/>
      <c r="H74" s="79"/>
      <c r="I74" s="54"/>
      <c r="J74" s="64"/>
      <c r="K74" s="64"/>
      <c r="L74" s="3"/>
    </row>
    <row r="75" spans="1:29" x14ac:dyDescent="0.25">
      <c r="A75" s="54"/>
      <c r="B75" s="45"/>
      <c r="C75" s="45" t="s">
        <v>39</v>
      </c>
      <c r="D75" s="54"/>
      <c r="E75" s="73" t="s">
        <v>5</v>
      </c>
      <c r="F75" s="208">
        <f>C8</f>
        <v>0</v>
      </c>
      <c r="G75" s="208"/>
      <c r="H75" s="208"/>
      <c r="I75" s="208"/>
      <c r="J75" s="208"/>
      <c r="K75" s="208"/>
      <c r="L75" s="3"/>
      <c r="N75" s="209" t="s">
        <v>93</v>
      </c>
      <c r="O75" s="209"/>
      <c r="P75" s="209"/>
      <c r="Q75" s="209"/>
      <c r="R75" s="209"/>
      <c r="S75" s="209"/>
    </row>
    <row r="76" spans="1:29" ht="18.75" x14ac:dyDescent="0.3">
      <c r="A76" s="54"/>
      <c r="B76" s="44"/>
      <c r="C76" s="44"/>
      <c r="D76" s="73"/>
      <c r="E76" s="76"/>
      <c r="F76" s="77"/>
      <c r="G76" s="78"/>
      <c r="H76" s="79"/>
      <c r="I76" s="54"/>
      <c r="J76" s="64"/>
      <c r="K76" s="64"/>
      <c r="L76" s="54"/>
      <c r="N76" s="80"/>
      <c r="O76" s="80"/>
      <c r="P76" s="80"/>
      <c r="Q76" s="80"/>
      <c r="R76" s="80"/>
      <c r="S76" s="80"/>
    </row>
    <row r="77" spans="1:29" ht="18.75" x14ac:dyDescent="0.3">
      <c r="A77" s="68"/>
      <c r="B77" s="45"/>
      <c r="C77" s="45" t="s">
        <v>40</v>
      </c>
      <c r="D77" s="54"/>
      <c r="E77" s="73" t="s">
        <v>5</v>
      </c>
      <c r="F77" s="210">
        <f>C10</f>
        <v>0</v>
      </c>
      <c r="G77" s="210"/>
      <c r="H77" s="210"/>
      <c r="I77" s="210"/>
      <c r="J77" s="210"/>
      <c r="K77" s="44"/>
      <c r="L77" s="54"/>
      <c r="N77" s="80"/>
      <c r="O77" s="80"/>
      <c r="P77" s="80"/>
      <c r="Q77" s="80"/>
      <c r="R77" s="80"/>
      <c r="S77" s="80"/>
    </row>
    <row r="78" spans="1:29" ht="18.600000000000001" customHeight="1" x14ac:dyDescent="0.25">
      <c r="A78" s="72"/>
      <c r="B78" s="44"/>
      <c r="C78" s="44"/>
      <c r="D78" s="73"/>
      <c r="E78" s="79"/>
      <c r="F78" s="78"/>
      <c r="G78" s="78"/>
      <c r="H78" s="79"/>
      <c r="I78" s="54"/>
      <c r="J78" s="72"/>
      <c r="K78" s="54"/>
      <c r="L78" s="54"/>
      <c r="N78" s="146"/>
      <c r="O78" s="146"/>
      <c r="P78" s="212" t="str">
        <f>"NAMA PEGAWAI :    " &amp; C8</f>
        <v xml:space="preserve">NAMA PEGAWAI :    </v>
      </c>
      <c r="Q78" s="212"/>
      <c r="R78" s="212"/>
      <c r="S78" s="212"/>
    </row>
    <row r="79" spans="1:29" ht="18.75" x14ac:dyDescent="0.25">
      <c r="A79" s="72"/>
      <c r="B79" s="44"/>
      <c r="C79" s="44" t="s">
        <v>41</v>
      </c>
      <c r="D79" s="76"/>
      <c r="E79" s="73" t="s">
        <v>5</v>
      </c>
      <c r="F79" s="81"/>
      <c r="G79" s="59"/>
      <c r="H79" s="79"/>
      <c r="I79" s="54"/>
      <c r="J79" s="72"/>
      <c r="K79" s="54"/>
      <c r="L79" s="11"/>
      <c r="N79" s="82"/>
      <c r="O79" s="82"/>
      <c r="P79" s="83"/>
      <c r="Q79" s="211" t="str">
        <f>"                      "&amp;C11</f>
        <v xml:space="preserve">                      </v>
      </c>
      <c r="R79" s="211"/>
      <c r="S79" s="84"/>
      <c r="AC79" s="9" t="s">
        <v>30</v>
      </c>
    </row>
    <row r="80" spans="1:29" ht="18.75" x14ac:dyDescent="0.25">
      <c r="A80" s="54"/>
      <c r="B80" s="72"/>
      <c r="C80" s="44"/>
      <c r="D80" s="54"/>
      <c r="E80" s="54"/>
      <c r="F80" s="59"/>
      <c r="G80" s="59"/>
      <c r="H80" s="54"/>
      <c r="I80" s="54"/>
      <c r="J80" s="54"/>
      <c r="K80" s="54"/>
      <c r="L80" s="11"/>
      <c r="N80" s="82"/>
      <c r="O80" s="82"/>
      <c r="P80" s="83"/>
      <c r="Q80" s="83"/>
      <c r="R80" s="83"/>
      <c r="S80" s="85"/>
    </row>
    <row r="81" spans="1:19" ht="15" customHeight="1" x14ac:dyDescent="0.25">
      <c r="A81" s="54"/>
      <c r="B81" s="72"/>
      <c r="C81" s="45"/>
      <c r="D81" s="54"/>
      <c r="E81" s="54"/>
      <c r="F81" s="59"/>
      <c r="G81" s="59"/>
      <c r="H81" s="54"/>
      <c r="I81" s="54"/>
      <c r="J81" s="54"/>
      <c r="K81" s="54"/>
      <c r="L81" s="54"/>
      <c r="N81" s="83"/>
      <c r="O81" s="83"/>
      <c r="P81" s="213" t="str">
        <f>"NO. PEGAWAI :        " &amp; C10</f>
        <v xml:space="preserve">NO. PEGAWAI :        </v>
      </c>
      <c r="Q81" s="213"/>
      <c r="R81" s="213"/>
      <c r="S81" s="213"/>
    </row>
    <row r="82" spans="1:19" ht="18.75" x14ac:dyDescent="0.3">
      <c r="A82" s="54"/>
      <c r="B82" s="72"/>
      <c r="C82" s="71"/>
      <c r="D82" s="72"/>
      <c r="E82" s="54"/>
      <c r="F82" s="58"/>
      <c r="G82" s="58"/>
      <c r="H82" s="54"/>
      <c r="I82" s="54"/>
      <c r="J82" s="54"/>
      <c r="K82" s="54"/>
      <c r="L82" s="54"/>
      <c r="N82" s="80"/>
      <c r="O82" s="80"/>
      <c r="P82" s="80"/>
      <c r="Q82" s="80"/>
      <c r="R82" s="80"/>
      <c r="S82" s="80"/>
    </row>
    <row r="83" spans="1:19" ht="18.75" x14ac:dyDescent="0.3">
      <c r="A83" s="54"/>
      <c r="B83" s="72"/>
      <c r="C83" s="45" t="s">
        <v>42</v>
      </c>
      <c r="D83" s="54"/>
      <c r="E83" s="54"/>
      <c r="F83" s="59"/>
      <c r="G83" s="59"/>
      <c r="H83" s="54"/>
      <c r="I83" s="54"/>
      <c r="J83" s="54"/>
      <c r="K83" s="54"/>
      <c r="L83" s="54"/>
      <c r="N83" s="214"/>
      <c r="O83" s="214"/>
      <c r="P83" s="214"/>
      <c r="Q83" s="214"/>
      <c r="R83" s="214"/>
      <c r="S83" s="214"/>
    </row>
    <row r="84" spans="1:19" ht="18.75" customHeight="1" x14ac:dyDescent="0.25">
      <c r="A84" s="54"/>
      <c r="B84" s="72"/>
      <c r="C84" s="71" t="s">
        <v>110</v>
      </c>
      <c r="D84" s="54"/>
      <c r="E84" s="73" t="s">
        <v>5</v>
      </c>
      <c r="F84" s="86"/>
      <c r="G84" s="86"/>
      <c r="H84" s="87"/>
      <c r="I84" s="87"/>
      <c r="J84" s="79"/>
      <c r="K84" s="54"/>
      <c r="L84" s="54"/>
      <c r="N84" s="206" t="s">
        <v>94</v>
      </c>
      <c r="O84" s="206"/>
      <c r="P84" s="206"/>
      <c r="Q84" s="206"/>
      <c r="R84" s="206"/>
      <c r="S84" s="206"/>
    </row>
    <row r="85" spans="1:19" ht="18.75" customHeight="1" x14ac:dyDescent="0.25">
      <c r="A85" s="54"/>
      <c r="B85" s="72"/>
      <c r="C85" s="44"/>
      <c r="D85" s="54"/>
      <c r="E85" s="54"/>
      <c r="F85" s="59"/>
      <c r="G85" s="59"/>
      <c r="H85" s="54"/>
      <c r="I85" s="54"/>
      <c r="J85" s="54"/>
      <c r="K85" s="54"/>
      <c r="L85" s="54"/>
      <c r="N85" s="206" t="s">
        <v>95</v>
      </c>
      <c r="O85" s="206"/>
      <c r="P85" s="206"/>
      <c r="Q85" s="206"/>
      <c r="R85" s="206"/>
      <c r="S85" s="206"/>
    </row>
    <row r="86" spans="1:19" ht="18.75" x14ac:dyDescent="0.3">
      <c r="A86" s="54"/>
      <c r="B86" s="72"/>
      <c r="C86" s="45" t="s">
        <v>43</v>
      </c>
      <c r="D86" s="54"/>
      <c r="E86" s="73" t="s">
        <v>5</v>
      </c>
      <c r="F86" s="86"/>
      <c r="G86" s="86"/>
      <c r="H86" s="87"/>
      <c r="I86" s="87"/>
      <c r="J86" s="54"/>
      <c r="K86" s="54"/>
      <c r="L86" s="54"/>
      <c r="N86" s="215"/>
      <c r="O86" s="215"/>
      <c r="P86" s="215"/>
      <c r="Q86" s="215"/>
      <c r="R86" s="215"/>
      <c r="S86" s="215"/>
    </row>
    <row r="87" spans="1:19" ht="18.75" customHeight="1" x14ac:dyDescent="0.25">
      <c r="A87" s="54"/>
      <c r="B87" s="72"/>
      <c r="C87" s="44"/>
      <c r="D87" s="54"/>
      <c r="E87" s="54"/>
      <c r="F87" s="59"/>
      <c r="G87" s="59"/>
      <c r="H87" s="54"/>
      <c r="I87" s="54"/>
      <c r="J87" s="54"/>
      <c r="K87" s="54"/>
      <c r="L87" s="54"/>
      <c r="N87" s="206"/>
      <c r="O87" s="206"/>
      <c r="P87" s="206"/>
      <c r="Q87" s="206"/>
      <c r="R87" s="206"/>
      <c r="S87" s="206"/>
    </row>
    <row r="88" spans="1:19" ht="18.75" customHeight="1" x14ac:dyDescent="0.25">
      <c r="A88" s="54"/>
      <c r="B88" s="72"/>
      <c r="C88" s="45" t="s">
        <v>40</v>
      </c>
      <c r="D88" s="54"/>
      <c r="E88" s="73" t="s">
        <v>5</v>
      </c>
      <c r="F88" s="226"/>
      <c r="G88" s="226"/>
      <c r="H88" s="226"/>
      <c r="I88" s="226"/>
      <c r="J88" s="226"/>
      <c r="K88" s="54"/>
      <c r="L88" s="54"/>
      <c r="N88" s="206" t="s">
        <v>96</v>
      </c>
      <c r="O88" s="206"/>
      <c r="P88" s="206"/>
      <c r="Q88" s="206"/>
      <c r="R88" s="206"/>
      <c r="S88" s="206"/>
    </row>
    <row r="89" spans="1:19" ht="18.75" customHeight="1" x14ac:dyDescent="0.25">
      <c r="A89" s="54"/>
      <c r="B89" s="72"/>
      <c r="C89" s="44"/>
      <c r="D89" s="54"/>
      <c r="E89" s="54"/>
      <c r="F89" s="89"/>
      <c r="G89" s="89"/>
      <c r="H89" s="90"/>
      <c r="I89" s="90"/>
      <c r="J89" s="44"/>
      <c r="K89" s="54"/>
      <c r="L89" s="54"/>
      <c r="N89" s="88" t="s">
        <v>97</v>
      </c>
      <c r="O89" s="88"/>
      <c r="P89" s="88"/>
      <c r="Q89" s="88"/>
      <c r="R89" s="88"/>
      <c r="S89" s="88"/>
    </row>
    <row r="90" spans="1:19" ht="18.75" customHeight="1" x14ac:dyDescent="0.25">
      <c r="A90" s="54"/>
      <c r="B90" s="72"/>
      <c r="C90" s="44" t="s">
        <v>41</v>
      </c>
      <c r="D90" s="76"/>
      <c r="E90" s="73" t="s">
        <v>5</v>
      </c>
      <c r="F90" s="74"/>
      <c r="G90" s="59"/>
      <c r="H90" s="54"/>
      <c r="I90" s="54"/>
      <c r="J90" s="45"/>
      <c r="K90" s="54"/>
      <c r="L90" s="54"/>
      <c r="N90" s="88"/>
      <c r="O90" s="88"/>
      <c r="P90" s="88"/>
      <c r="Q90" s="88"/>
      <c r="R90" s="88"/>
      <c r="S90" s="88"/>
    </row>
    <row r="91" spans="1:19" ht="18.75" customHeight="1" x14ac:dyDescent="0.25">
      <c r="A91" s="54"/>
      <c r="B91" s="72"/>
      <c r="C91" s="45"/>
      <c r="D91" s="54"/>
      <c r="E91" s="73"/>
      <c r="F91" s="78"/>
      <c r="G91" s="78"/>
      <c r="H91" s="79"/>
      <c r="I91" s="79"/>
      <c r="J91" s="54"/>
      <c r="K91" s="54"/>
      <c r="L91" s="54"/>
      <c r="N91" s="88" t="s">
        <v>98</v>
      </c>
      <c r="O91" s="88"/>
      <c r="P91" s="88"/>
      <c r="Q91" s="88"/>
      <c r="R91" s="88"/>
      <c r="S91" s="88"/>
    </row>
    <row r="92" spans="1:19" ht="18.75" customHeight="1" x14ac:dyDescent="0.25">
      <c r="A92" s="54"/>
      <c r="B92" s="72"/>
      <c r="C92" s="44"/>
      <c r="D92" s="54"/>
      <c r="E92" s="54"/>
      <c r="F92" s="59"/>
      <c r="G92" s="59"/>
      <c r="H92" s="54"/>
      <c r="I92" s="54"/>
      <c r="J92" s="54"/>
      <c r="K92" s="54"/>
      <c r="L92" s="54"/>
      <c r="N92" s="88"/>
      <c r="O92" s="88"/>
      <c r="P92" s="88"/>
      <c r="Q92" s="88"/>
      <c r="R92" s="88"/>
      <c r="S92" s="88"/>
    </row>
    <row r="93" spans="1:19" ht="18.75" customHeight="1" x14ac:dyDescent="0.25">
      <c r="A93" s="54"/>
      <c r="B93" s="72"/>
      <c r="C93" s="44"/>
      <c r="D93" s="76"/>
      <c r="E93" s="73"/>
      <c r="F93" s="58"/>
      <c r="G93" s="59"/>
      <c r="H93" s="54"/>
      <c r="I93" s="54"/>
      <c r="J93" s="54"/>
      <c r="K93" s="54"/>
      <c r="L93" s="54"/>
      <c r="N93" s="88" t="s">
        <v>99</v>
      </c>
      <c r="O93" s="88"/>
      <c r="P93" s="88"/>
      <c r="Q93" s="88"/>
      <c r="R93" s="88"/>
      <c r="S93" s="88"/>
    </row>
    <row r="94" spans="1:19" x14ac:dyDescent="0.25">
      <c r="A94" s="68" t="s">
        <v>44</v>
      </c>
      <c r="B94" s="91" t="s">
        <v>45</v>
      </c>
      <c r="C94" s="92"/>
      <c r="D94" s="91"/>
      <c r="E94" s="91"/>
      <c r="F94" s="13"/>
      <c r="G94" s="13"/>
      <c r="H94" s="91"/>
      <c r="I94" s="91"/>
      <c r="J94" s="91"/>
      <c r="K94" s="28"/>
      <c r="L94" s="18"/>
      <c r="N94" s="88" t="s">
        <v>108</v>
      </c>
      <c r="O94" s="88"/>
      <c r="P94" s="88"/>
      <c r="Q94" s="88"/>
      <c r="R94" s="88"/>
      <c r="S94" s="88"/>
    </row>
    <row r="95" spans="1:19" ht="18.75" x14ac:dyDescent="0.3">
      <c r="A95" s="68"/>
      <c r="B95" s="91" t="s">
        <v>46</v>
      </c>
      <c r="C95" s="92"/>
      <c r="D95" s="91"/>
      <c r="E95" s="91"/>
      <c r="F95" s="13"/>
      <c r="G95" s="13"/>
      <c r="H95" s="91"/>
      <c r="I95" s="91"/>
      <c r="J95" s="91"/>
      <c r="K95" s="28"/>
      <c r="L95" s="18"/>
      <c r="N95" s="215"/>
      <c r="O95" s="215"/>
      <c r="P95" s="215"/>
      <c r="Q95" s="215"/>
      <c r="R95" s="215"/>
      <c r="S95" s="215"/>
    </row>
    <row r="96" spans="1:19" ht="18.75" x14ac:dyDescent="0.3">
      <c r="A96" s="68"/>
      <c r="B96" s="91" t="s">
        <v>47</v>
      </c>
      <c r="C96" s="92"/>
      <c r="D96" s="91"/>
      <c r="E96" s="91"/>
      <c r="F96" s="13"/>
      <c r="G96" s="13"/>
      <c r="H96" s="91"/>
      <c r="I96" s="91"/>
      <c r="J96" s="91"/>
      <c r="K96" s="28"/>
      <c r="L96" s="18"/>
      <c r="N96" s="215"/>
      <c r="O96" s="215"/>
      <c r="P96" s="215"/>
      <c r="Q96" s="215"/>
      <c r="R96" s="215"/>
      <c r="S96" s="215"/>
    </row>
    <row r="97" spans="1:21" ht="18.75" x14ac:dyDescent="0.3">
      <c r="A97" s="68"/>
      <c r="B97" s="91" t="s">
        <v>48</v>
      </c>
      <c r="C97" s="92"/>
      <c r="D97" s="91"/>
      <c r="E97" s="91"/>
      <c r="F97" s="13"/>
      <c r="G97" s="13"/>
      <c r="H97" s="91"/>
      <c r="I97" s="91"/>
      <c r="J97" s="91"/>
      <c r="K97" s="28"/>
      <c r="L97" s="18"/>
      <c r="N97" s="215"/>
      <c r="O97" s="215"/>
      <c r="P97" s="215"/>
      <c r="Q97" s="215"/>
      <c r="R97" s="215"/>
      <c r="S97" s="215"/>
    </row>
    <row r="98" spans="1:21" ht="18.75" x14ac:dyDescent="0.3">
      <c r="A98" s="68"/>
      <c r="B98" s="91" t="s">
        <v>49</v>
      </c>
      <c r="C98" s="92"/>
      <c r="D98" s="91"/>
      <c r="E98" s="91"/>
      <c r="F98" s="13"/>
      <c r="G98" s="13"/>
      <c r="H98" s="91"/>
      <c r="I98" s="91"/>
      <c r="J98" s="91"/>
      <c r="K98" s="28"/>
      <c r="L98" s="18"/>
      <c r="N98" s="215"/>
      <c r="O98" s="215"/>
      <c r="P98" s="215"/>
      <c r="Q98" s="215"/>
      <c r="R98" s="215"/>
      <c r="S98" s="215"/>
    </row>
    <row r="99" spans="1:21" x14ac:dyDescent="0.25">
      <c r="A99" s="68"/>
      <c r="B99" s="91" t="s">
        <v>50</v>
      </c>
      <c r="C99" s="92"/>
      <c r="D99" s="28"/>
      <c r="E99" s="28"/>
      <c r="F99" s="15"/>
      <c r="G99" s="15"/>
      <c r="H99" s="28"/>
      <c r="I99" s="28"/>
      <c r="J99" s="28"/>
      <c r="K99" s="28"/>
      <c r="L99" s="18"/>
      <c r="N99" s="206"/>
      <c r="O99" s="206"/>
      <c r="P99" s="206"/>
      <c r="Q99" s="206"/>
      <c r="R99" s="206"/>
      <c r="S99" s="206"/>
    </row>
    <row r="100" spans="1:21" x14ac:dyDescent="0.25">
      <c r="A100" s="54"/>
      <c r="B100" s="91"/>
      <c r="C100" s="19"/>
      <c r="D100" s="93"/>
      <c r="E100" s="94"/>
      <c r="F100" s="95"/>
      <c r="G100" s="95"/>
      <c r="H100" s="94"/>
      <c r="I100" s="18"/>
      <c r="J100" s="18"/>
      <c r="K100" s="18"/>
      <c r="L100" s="18"/>
      <c r="N100" s="88"/>
      <c r="O100" s="88"/>
      <c r="P100" s="88"/>
      <c r="Q100" s="88"/>
      <c r="R100" s="88"/>
      <c r="S100" s="88"/>
    </row>
    <row r="101" spans="1:21" ht="18.75" x14ac:dyDescent="0.25">
      <c r="A101" s="68" t="s">
        <v>51</v>
      </c>
      <c r="B101" s="19" t="s">
        <v>52</v>
      </c>
      <c r="C101" s="96"/>
      <c r="D101" s="18"/>
      <c r="E101" s="18"/>
      <c r="F101" s="15"/>
      <c r="G101" s="15"/>
      <c r="H101" s="18"/>
      <c r="I101" s="18"/>
      <c r="J101" s="18"/>
      <c r="K101" s="18"/>
      <c r="L101" s="18"/>
      <c r="P101" s="84"/>
    </row>
    <row r="102" spans="1:21" x14ac:dyDescent="0.25">
      <c r="A102" s="68"/>
      <c r="B102" s="19" t="s">
        <v>53</v>
      </c>
      <c r="C102" s="96"/>
      <c r="D102" s="18"/>
      <c r="E102" s="18"/>
      <c r="F102" s="15"/>
      <c r="G102" s="15"/>
      <c r="H102" s="18"/>
      <c r="I102" s="18"/>
      <c r="J102" s="18"/>
      <c r="K102" s="18"/>
      <c r="L102" s="18"/>
    </row>
    <row r="103" spans="1:21" x14ac:dyDescent="0.25">
      <c r="A103" s="68"/>
      <c r="B103" s="19" t="s">
        <v>54</v>
      </c>
      <c r="C103" s="96"/>
      <c r="D103" s="18"/>
      <c r="E103" s="18"/>
      <c r="F103" s="15"/>
      <c r="G103" s="15"/>
      <c r="H103" s="18"/>
      <c r="I103" s="18"/>
      <c r="J103" s="18"/>
      <c r="K103" s="18"/>
      <c r="L103" s="18"/>
      <c r="P103" s="82" t="s">
        <v>107</v>
      </c>
    </row>
    <row r="104" spans="1:21" x14ac:dyDescent="0.25">
      <c r="A104" s="68"/>
      <c r="B104" s="45"/>
      <c r="C104" s="97"/>
      <c r="D104" s="45"/>
      <c r="E104" s="45"/>
      <c r="F104" s="58"/>
      <c r="G104" s="58"/>
      <c r="H104" s="45"/>
      <c r="I104" s="45"/>
      <c r="J104" s="45"/>
      <c r="K104" s="98"/>
      <c r="L104" s="54"/>
      <c r="Q104" s="99"/>
      <c r="R104" s="99"/>
      <c r="S104" s="99"/>
    </row>
    <row r="105" spans="1:21" x14ac:dyDescent="0.25">
      <c r="A105" s="68"/>
      <c r="B105" s="44" t="s">
        <v>55</v>
      </c>
      <c r="C105" s="100"/>
      <c r="D105" s="54"/>
      <c r="E105" s="54"/>
      <c r="F105" s="59"/>
      <c r="G105" s="59"/>
      <c r="H105" s="54"/>
      <c r="I105" s="54"/>
      <c r="J105" s="54"/>
      <c r="K105" s="54"/>
      <c r="L105" s="54"/>
    </row>
    <row r="106" spans="1:21" x14ac:dyDescent="0.25">
      <c r="A106" s="68"/>
      <c r="B106" s="44"/>
      <c r="C106" s="100"/>
      <c r="D106" s="54"/>
      <c r="E106" s="54"/>
      <c r="F106" s="59"/>
      <c r="G106" s="59"/>
      <c r="H106" s="54"/>
      <c r="I106" s="54"/>
      <c r="J106" s="54"/>
      <c r="K106" s="54"/>
      <c r="L106" s="54"/>
    </row>
    <row r="107" spans="1:21" x14ac:dyDescent="0.25">
      <c r="A107" s="68"/>
      <c r="B107" s="44"/>
      <c r="C107" s="100"/>
      <c r="D107" s="54"/>
      <c r="E107" s="54"/>
      <c r="F107" s="59"/>
      <c r="G107" s="59"/>
      <c r="H107" s="54"/>
      <c r="I107" s="54"/>
      <c r="J107" s="54"/>
      <c r="K107" s="54"/>
      <c r="L107" s="54"/>
      <c r="P107" s="99" t="s">
        <v>106</v>
      </c>
      <c r="Q107" s="99"/>
      <c r="R107" s="99"/>
      <c r="S107" s="99"/>
    </row>
    <row r="108" spans="1:21" x14ac:dyDescent="0.25">
      <c r="A108" s="68" t="s">
        <v>56</v>
      </c>
      <c r="B108" s="100"/>
      <c r="C108" s="44" t="s">
        <v>109</v>
      </c>
      <c r="D108" s="44"/>
      <c r="E108" s="73" t="s">
        <v>5</v>
      </c>
      <c r="F108" s="101"/>
      <c r="G108" s="101"/>
      <c r="H108" s="102"/>
      <c r="I108" s="102"/>
      <c r="J108" s="54"/>
      <c r="K108" s="54"/>
      <c r="L108" s="54"/>
      <c r="Q108" s="99"/>
      <c r="R108" s="99"/>
      <c r="S108" s="99"/>
    </row>
    <row r="109" spans="1:21" x14ac:dyDescent="0.25">
      <c r="A109" s="59"/>
      <c r="B109" s="100"/>
      <c r="C109" s="44"/>
      <c r="D109" s="103"/>
      <c r="E109" s="73"/>
      <c r="F109" s="59"/>
      <c r="G109" s="59"/>
      <c r="H109" s="54"/>
      <c r="I109" s="54"/>
      <c r="J109" s="54"/>
      <c r="K109" s="54"/>
      <c r="L109" s="54"/>
      <c r="P109" s="88" t="s">
        <v>100</v>
      </c>
      <c r="Q109" s="99"/>
      <c r="R109" s="99"/>
      <c r="S109" s="99"/>
    </row>
    <row r="110" spans="1:21" x14ac:dyDescent="0.25">
      <c r="A110" s="54"/>
      <c r="B110" s="100"/>
      <c r="C110" s="45" t="s">
        <v>57</v>
      </c>
      <c r="D110" s="103"/>
      <c r="E110" s="73" t="s">
        <v>5</v>
      </c>
      <c r="F110" s="86"/>
      <c r="G110" s="86"/>
      <c r="H110" s="87"/>
      <c r="I110" s="87"/>
      <c r="J110" s="54"/>
      <c r="K110" s="54"/>
      <c r="L110" s="54"/>
      <c r="P110" s="104" t="s">
        <v>101</v>
      </c>
    </row>
    <row r="111" spans="1:21" x14ac:dyDescent="0.25">
      <c r="A111" s="54"/>
      <c r="B111" s="100"/>
      <c r="C111" s="71"/>
      <c r="D111" s="103"/>
      <c r="E111" s="73"/>
      <c r="F111" s="59"/>
      <c r="G111" s="59"/>
      <c r="H111" s="54"/>
      <c r="I111" s="54"/>
      <c r="J111" s="54"/>
      <c r="K111" s="54"/>
      <c r="L111" s="54"/>
      <c r="P111" s="104" t="s">
        <v>102</v>
      </c>
      <c r="Q111" s="99"/>
      <c r="R111" s="99"/>
      <c r="S111" s="99"/>
      <c r="T111" s="105"/>
      <c r="U111" s="105"/>
    </row>
    <row r="112" spans="1:21" x14ac:dyDescent="0.25">
      <c r="A112" s="54"/>
      <c r="B112" s="100"/>
      <c r="C112" s="45" t="s">
        <v>40</v>
      </c>
      <c r="D112" s="103"/>
      <c r="E112" s="73" t="s">
        <v>5</v>
      </c>
      <c r="F112" s="106"/>
      <c r="G112" s="106"/>
      <c r="H112" s="107"/>
      <c r="I112" s="107"/>
      <c r="J112" s="54"/>
      <c r="K112" s="54"/>
      <c r="L112" s="54"/>
      <c r="P112" s="104" t="s">
        <v>103</v>
      </c>
      <c r="R112" s="105"/>
      <c r="S112" s="105"/>
      <c r="T112" s="105"/>
      <c r="U112" s="105"/>
    </row>
    <row r="113" spans="1:21" x14ac:dyDescent="0.25">
      <c r="A113" s="54"/>
      <c r="B113" s="100"/>
      <c r="C113" s="44"/>
      <c r="D113" s="103"/>
      <c r="E113" s="73"/>
      <c r="F113" s="59"/>
      <c r="G113" s="59"/>
      <c r="H113" s="54"/>
      <c r="I113" s="54"/>
      <c r="J113" s="54"/>
      <c r="K113" s="54"/>
      <c r="L113" s="54"/>
      <c r="P113" s="88"/>
      <c r="Q113" s="99"/>
      <c r="R113" s="99"/>
      <c r="S113" s="99"/>
      <c r="T113" s="105"/>
      <c r="U113" s="105"/>
    </row>
    <row r="114" spans="1:21" x14ac:dyDescent="0.25">
      <c r="A114" s="18"/>
      <c r="B114" s="96"/>
      <c r="C114" s="91" t="s">
        <v>15</v>
      </c>
      <c r="D114" s="108"/>
      <c r="E114" s="109" t="s">
        <v>5</v>
      </c>
      <c r="F114" s="74"/>
      <c r="G114" s="15"/>
      <c r="H114" s="18"/>
      <c r="I114" s="18"/>
      <c r="J114" s="18"/>
      <c r="K114" s="18"/>
      <c r="L114" s="54"/>
      <c r="P114" s="104" t="s">
        <v>104</v>
      </c>
      <c r="Q114" s="9" t="s">
        <v>5</v>
      </c>
    </row>
    <row r="115" spans="1:21" x14ac:dyDescent="0.25">
      <c r="P115" s="88"/>
    </row>
    <row r="116" spans="1:21" x14ac:dyDescent="0.25">
      <c r="P116" s="104" t="s">
        <v>105</v>
      </c>
      <c r="Q116" s="9" t="s">
        <v>5</v>
      </c>
    </row>
    <row r="119" spans="1:21" ht="60" customHeight="1" x14ac:dyDescent="0.25"/>
    <row r="124" spans="1:21" ht="18.75" x14ac:dyDescent="0.25">
      <c r="A124" s="227" t="s">
        <v>67</v>
      </c>
      <c r="B124" s="228"/>
      <c r="C124" s="228"/>
      <c r="D124" s="228"/>
      <c r="E124" s="228"/>
      <c r="F124" s="228"/>
      <c r="G124" s="228"/>
      <c r="H124" s="228"/>
      <c r="I124" s="228"/>
      <c r="J124" s="228"/>
      <c r="K124" s="228"/>
      <c r="L124" s="229"/>
    </row>
    <row r="125" spans="1:21" ht="27" customHeight="1" x14ac:dyDescent="0.25">
      <c r="A125" s="230" t="s">
        <v>68</v>
      </c>
      <c r="B125" s="231"/>
      <c r="C125" s="231"/>
      <c r="D125" s="231"/>
      <c r="E125" s="231"/>
      <c r="F125" s="231"/>
      <c r="G125" s="231"/>
      <c r="H125" s="231"/>
      <c r="I125" s="231"/>
      <c r="J125" s="231"/>
      <c r="K125" s="231"/>
      <c r="L125" s="232"/>
    </row>
    <row r="126" spans="1:21" ht="27" customHeight="1" x14ac:dyDescent="0.25">
      <c r="A126" s="110" t="s">
        <v>69</v>
      </c>
      <c r="B126" s="111"/>
      <c r="C126" s="111"/>
      <c r="D126" s="233">
        <f>C8</f>
        <v>0</v>
      </c>
      <c r="E126" s="234"/>
      <c r="F126" s="234"/>
      <c r="G126" s="234"/>
      <c r="H126" s="234"/>
      <c r="I126" s="235"/>
      <c r="J126" s="236" t="s">
        <v>70</v>
      </c>
      <c r="K126" s="237"/>
      <c r="L126" s="238"/>
    </row>
    <row r="127" spans="1:21" ht="27" customHeight="1" x14ac:dyDescent="0.3">
      <c r="A127" s="112" t="s">
        <v>71</v>
      </c>
      <c r="B127" s="112"/>
      <c r="C127" s="113"/>
      <c r="D127" s="113"/>
      <c r="E127" s="113"/>
      <c r="F127" s="113"/>
      <c r="G127" s="114"/>
      <c r="H127" s="113"/>
      <c r="I127" s="115"/>
      <c r="J127" s="116"/>
      <c r="K127" s="117"/>
      <c r="L127" s="118"/>
    </row>
    <row r="128" spans="1:21" ht="38.25" customHeight="1" x14ac:dyDescent="0.25">
      <c r="A128" s="119"/>
      <c r="B128" s="120"/>
      <c r="C128" s="120"/>
      <c r="D128" s="120"/>
      <c r="E128" s="120"/>
      <c r="F128" s="120"/>
      <c r="G128" s="120"/>
      <c r="H128" s="120"/>
      <c r="I128" s="121"/>
      <c r="J128" s="122"/>
      <c r="K128" s="123"/>
      <c r="L128" s="124"/>
    </row>
    <row r="129" spans="1:12" ht="27.75" customHeight="1" x14ac:dyDescent="0.25">
      <c r="A129" s="125" t="s">
        <v>72</v>
      </c>
      <c r="B129" s="216" t="s">
        <v>73</v>
      </c>
      <c r="C129" s="217"/>
      <c r="D129" s="218" t="s">
        <v>74</v>
      </c>
      <c r="E129" s="219"/>
      <c r="F129" s="219"/>
      <c r="G129" s="219"/>
      <c r="H129" s="219"/>
      <c r="I129" s="219"/>
      <c r="J129" s="220"/>
      <c r="K129" s="218" t="s">
        <v>75</v>
      </c>
      <c r="L129" s="219"/>
    </row>
    <row r="130" spans="1:12" ht="42" customHeight="1" x14ac:dyDescent="0.25">
      <c r="A130" s="126"/>
      <c r="B130" s="127" t="s">
        <v>76</v>
      </c>
      <c r="C130" s="128" t="s">
        <v>77</v>
      </c>
      <c r="D130" s="221"/>
      <c r="E130" s="222"/>
      <c r="F130" s="222"/>
      <c r="G130" s="222"/>
      <c r="H130" s="222"/>
      <c r="I130" s="222"/>
      <c r="J130" s="223"/>
      <c r="K130" s="224"/>
      <c r="L130" s="225"/>
    </row>
    <row r="131" spans="1:12" ht="42" customHeight="1" x14ac:dyDescent="0.25">
      <c r="A131" s="129">
        <v>1</v>
      </c>
      <c r="B131" s="129"/>
      <c r="C131" s="130"/>
      <c r="D131" s="239" t="s">
        <v>78</v>
      </c>
      <c r="E131" s="240"/>
      <c r="F131" s="240"/>
      <c r="G131" s="240"/>
      <c r="H131" s="240"/>
      <c r="I131" s="240"/>
      <c r="J131" s="241"/>
      <c r="K131" s="242"/>
      <c r="L131" s="242"/>
    </row>
    <row r="132" spans="1:12" ht="42" customHeight="1" x14ac:dyDescent="0.25">
      <c r="A132" s="129">
        <v>2</v>
      </c>
      <c r="B132" s="129"/>
      <c r="C132" s="131"/>
      <c r="D132" s="239" t="s">
        <v>79</v>
      </c>
      <c r="E132" s="240"/>
      <c r="F132" s="240"/>
      <c r="G132" s="240"/>
      <c r="H132" s="240"/>
      <c r="I132" s="240"/>
      <c r="J132" s="241"/>
      <c r="K132" s="242"/>
      <c r="L132" s="242"/>
    </row>
    <row r="133" spans="1:12" ht="42" customHeight="1" x14ac:dyDescent="0.25">
      <c r="A133" s="129">
        <v>3</v>
      </c>
      <c r="B133" s="129"/>
      <c r="C133" s="131"/>
      <c r="D133" s="239" t="s">
        <v>80</v>
      </c>
      <c r="E133" s="240"/>
      <c r="F133" s="240"/>
      <c r="G133" s="240"/>
      <c r="H133" s="240"/>
      <c r="I133" s="240"/>
      <c r="J133" s="241"/>
      <c r="K133" s="242"/>
      <c r="L133" s="242"/>
    </row>
    <row r="134" spans="1:12" ht="42" customHeight="1" x14ac:dyDescent="0.25">
      <c r="A134" s="129">
        <v>4</v>
      </c>
      <c r="B134" s="129"/>
      <c r="C134" s="131"/>
      <c r="D134" s="239" t="s">
        <v>81</v>
      </c>
      <c r="E134" s="240"/>
      <c r="F134" s="240"/>
      <c r="G134" s="240"/>
      <c r="H134" s="240"/>
      <c r="I134" s="240"/>
      <c r="J134" s="241"/>
      <c r="K134" s="242"/>
      <c r="L134" s="242"/>
    </row>
    <row r="135" spans="1:12" ht="42" customHeight="1" x14ac:dyDescent="0.25">
      <c r="A135" s="129">
        <v>5</v>
      </c>
      <c r="B135" s="129"/>
      <c r="C135" s="131"/>
      <c r="D135" s="239" t="s">
        <v>82</v>
      </c>
      <c r="E135" s="240"/>
      <c r="F135" s="240"/>
      <c r="G135" s="240"/>
      <c r="H135" s="240"/>
      <c r="I135" s="240"/>
      <c r="J135" s="241"/>
      <c r="K135" s="242"/>
      <c r="L135" s="242"/>
    </row>
    <row r="136" spans="1:12" ht="42" customHeight="1" x14ac:dyDescent="0.25">
      <c r="A136" s="129">
        <v>6</v>
      </c>
      <c r="B136" s="129"/>
      <c r="C136" s="131"/>
      <c r="D136" s="239" t="s">
        <v>83</v>
      </c>
      <c r="E136" s="240"/>
      <c r="F136" s="240"/>
      <c r="G136" s="240"/>
      <c r="H136" s="240"/>
      <c r="I136" s="240"/>
      <c r="J136" s="241"/>
      <c r="K136" s="242"/>
      <c r="L136" s="242"/>
    </row>
    <row r="137" spans="1:12" ht="42" customHeight="1" x14ac:dyDescent="0.25">
      <c r="A137" s="129">
        <v>7</v>
      </c>
      <c r="B137" s="129"/>
      <c r="C137" s="131"/>
      <c r="D137" s="239" t="s">
        <v>84</v>
      </c>
      <c r="E137" s="240"/>
      <c r="F137" s="240"/>
      <c r="G137" s="240"/>
      <c r="H137" s="240"/>
      <c r="I137" s="240"/>
      <c r="J137" s="241"/>
      <c r="K137" s="242"/>
      <c r="L137" s="242"/>
    </row>
    <row r="138" spans="1:12" ht="42" customHeight="1" x14ac:dyDescent="0.25">
      <c r="A138" s="129">
        <v>8</v>
      </c>
      <c r="B138" s="129"/>
      <c r="C138" s="131"/>
      <c r="D138" s="243" t="s">
        <v>113</v>
      </c>
      <c r="E138" s="244"/>
      <c r="F138" s="244"/>
      <c r="G138" s="244"/>
      <c r="H138" s="244"/>
      <c r="I138" s="244"/>
      <c r="J138" s="245"/>
      <c r="K138" s="249"/>
      <c r="L138" s="250"/>
    </row>
    <row r="139" spans="1:12" ht="42" customHeight="1" x14ac:dyDescent="0.25">
      <c r="A139" s="129">
        <v>9</v>
      </c>
      <c r="B139" s="129"/>
      <c r="C139" s="131"/>
      <c r="D139" s="243" t="s">
        <v>85</v>
      </c>
      <c r="E139" s="244"/>
      <c r="F139" s="244"/>
      <c r="G139" s="244"/>
      <c r="H139" s="244"/>
      <c r="I139" s="244"/>
      <c r="J139" s="245"/>
      <c r="K139" s="242"/>
      <c r="L139" s="242"/>
    </row>
    <row r="140" spans="1:12" ht="85.5" customHeight="1" x14ac:dyDescent="0.25">
      <c r="A140" s="129">
        <v>10</v>
      </c>
      <c r="B140" s="129"/>
      <c r="C140" s="131"/>
      <c r="D140" s="243" t="s">
        <v>86</v>
      </c>
      <c r="E140" s="244"/>
      <c r="F140" s="244"/>
      <c r="G140" s="244"/>
      <c r="H140" s="244"/>
      <c r="I140" s="244"/>
      <c r="J140" s="245"/>
      <c r="K140" s="242"/>
      <c r="L140" s="242"/>
    </row>
    <row r="141" spans="1:12" ht="85.5" customHeight="1" x14ac:dyDescent="0.25">
      <c r="A141" s="129">
        <v>11</v>
      </c>
      <c r="B141" s="129"/>
      <c r="C141" s="131"/>
      <c r="D141" s="246" t="s">
        <v>87</v>
      </c>
      <c r="E141" s="247"/>
      <c r="F141" s="247"/>
      <c r="G141" s="247"/>
      <c r="H141" s="247"/>
      <c r="I141" s="247"/>
      <c r="J141" s="248"/>
      <c r="K141" s="242"/>
      <c r="L141" s="242"/>
    </row>
    <row r="142" spans="1:12" ht="61.5" customHeight="1" x14ac:dyDescent="0.25"/>
    <row r="143" spans="1:12" ht="61.5" customHeight="1" x14ac:dyDescent="0.25"/>
    <row r="144" spans="1:12" ht="61.5" customHeight="1" x14ac:dyDescent="0.25"/>
    <row r="145" ht="61.5" customHeight="1" x14ac:dyDescent="0.25"/>
    <row r="146" ht="61.5" customHeight="1" x14ac:dyDescent="0.25"/>
    <row r="147" ht="61.5" customHeight="1" x14ac:dyDescent="0.25"/>
    <row r="148" ht="61.5" customHeight="1" x14ac:dyDescent="0.25"/>
  </sheetData>
  <sheetProtection formatCells="0" formatColumns="0" formatRows="0"/>
  <mergeCells count="98">
    <mergeCell ref="D140:J140"/>
    <mergeCell ref="K140:L140"/>
    <mergeCell ref="D141:J141"/>
    <mergeCell ref="K141:L141"/>
    <mergeCell ref="D137:J137"/>
    <mergeCell ref="K137:L137"/>
    <mergeCell ref="D138:J138"/>
    <mergeCell ref="K138:L138"/>
    <mergeCell ref="D139:J139"/>
    <mergeCell ref="K139:L139"/>
    <mergeCell ref="D134:J134"/>
    <mergeCell ref="K134:L134"/>
    <mergeCell ref="D135:J135"/>
    <mergeCell ref="K135:L135"/>
    <mergeCell ref="D136:J136"/>
    <mergeCell ref="K136:L136"/>
    <mergeCell ref="D131:J131"/>
    <mergeCell ref="K131:L131"/>
    <mergeCell ref="D132:J132"/>
    <mergeCell ref="K132:L132"/>
    <mergeCell ref="D133:J133"/>
    <mergeCell ref="K133:L133"/>
    <mergeCell ref="B129:C129"/>
    <mergeCell ref="D129:J130"/>
    <mergeCell ref="K129:L130"/>
    <mergeCell ref="F88:J88"/>
    <mergeCell ref="N88:S88"/>
    <mergeCell ref="N95:S95"/>
    <mergeCell ref="N96:S96"/>
    <mergeCell ref="N97:S97"/>
    <mergeCell ref="N98:S98"/>
    <mergeCell ref="N99:S99"/>
    <mergeCell ref="A124:L124"/>
    <mergeCell ref="A125:L125"/>
    <mergeCell ref="D126:I126"/>
    <mergeCell ref="J126:L126"/>
    <mergeCell ref="N87:S87"/>
    <mergeCell ref="N73:S73"/>
    <mergeCell ref="F75:K75"/>
    <mergeCell ref="N75:S75"/>
    <mergeCell ref="F77:J77"/>
    <mergeCell ref="Q79:R79"/>
    <mergeCell ref="P78:S78"/>
    <mergeCell ref="P81:S81"/>
    <mergeCell ref="N83:S83"/>
    <mergeCell ref="N84:S84"/>
    <mergeCell ref="N85:S85"/>
    <mergeCell ref="N86:S86"/>
    <mergeCell ref="N72:S72"/>
    <mergeCell ref="B40:C41"/>
    <mergeCell ref="B42:C43"/>
    <mergeCell ref="B44:C45"/>
    <mergeCell ref="B46:C47"/>
    <mergeCell ref="B48:C49"/>
    <mergeCell ref="B50:C51"/>
    <mergeCell ref="R18:R53"/>
    <mergeCell ref="B52:C53"/>
    <mergeCell ref="G58:H58"/>
    <mergeCell ref="G59:H59"/>
    <mergeCell ref="C63:K64"/>
    <mergeCell ref="N71:S71"/>
    <mergeCell ref="B28:C29"/>
    <mergeCell ref="B30:C31"/>
    <mergeCell ref="B32:C33"/>
    <mergeCell ref="B34:C35"/>
    <mergeCell ref="B36:C37"/>
    <mergeCell ref="S15:S17"/>
    <mergeCell ref="B38:C39"/>
    <mergeCell ref="J18:J19"/>
    <mergeCell ref="K18:K19"/>
    <mergeCell ref="L18:L19"/>
    <mergeCell ref="Q18:Q53"/>
    <mergeCell ref="B20:C21"/>
    <mergeCell ref="L20:L53"/>
    <mergeCell ref="B22:C23"/>
    <mergeCell ref="B24:C25"/>
    <mergeCell ref="B26:C27"/>
    <mergeCell ref="A18:E19"/>
    <mergeCell ref="F18:F19"/>
    <mergeCell ref="G18:G19"/>
    <mergeCell ref="A1:L1"/>
    <mergeCell ref="A2:L2"/>
    <mergeCell ref="B15:C16"/>
    <mergeCell ref="D15:E16"/>
    <mergeCell ref="F15:F17"/>
    <mergeCell ref="G15:K16"/>
    <mergeCell ref="A4:L4"/>
    <mergeCell ref="A5:L5"/>
    <mergeCell ref="A6:L6"/>
    <mergeCell ref="C9:E9"/>
    <mergeCell ref="Q15:Q17"/>
    <mergeCell ref="R15:R17"/>
    <mergeCell ref="N2:S2"/>
    <mergeCell ref="H18:H19"/>
    <mergeCell ref="I18:I19"/>
    <mergeCell ref="L15:L17"/>
    <mergeCell ref="N15:N17"/>
    <mergeCell ref="O15:P16"/>
  </mergeCells>
  <phoneticPr fontId="41" type="noConversion"/>
  <printOptions horizontalCentered="1"/>
  <pageMargins left="0.25" right="0.25" top="0.75" bottom="0.75" header="0.3" footer="0.3"/>
  <pageSetup paperSize="9" scale="75" fitToWidth="2" fitToHeight="3" orientation="portrait" r:id="rId1"/>
  <rowBreaks count="2" manualBreakCount="2">
    <brk id="64" max="18" man="1"/>
    <brk id="120" max="18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Claim</vt:lpstr>
      <vt:lpstr>Claim!Print_Area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Jabatan Kastam Diraja Malaysia</dc:creator>
  <cp:keywords/>
  <dc:description/>
  <cp:lastModifiedBy>User</cp:lastModifiedBy>
  <cp:revision/>
  <cp:lastPrinted>2026-02-04T03:04:56Z</cp:lastPrinted>
  <dcterms:created xsi:type="dcterms:W3CDTF">2021-01-04T11:47:07Z</dcterms:created>
  <dcterms:modified xsi:type="dcterms:W3CDTF">2026-03-14T22:35:03Z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2023-09-25T03:10:38Z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090b46c2-ae2e-4760-b68f-d5e149d70459</vt:lpwstr>
  </property>
  <property fmtid="{D5CDD505-2E9C-101B-9397-08002B2CF9AE}" pid="7" name="MSIP_Label_defa4170-0d19-0005-0004-bc88714345d2_ActionId">
    <vt:lpwstr>8fcb021d-4a12-4e45-9ed3-1ee3d45c0e05</vt:lpwstr>
  </property>
  <property fmtid="{D5CDD505-2E9C-101B-9397-08002B2CF9AE}" pid="8" name="MSIP_Label_defa4170-0d19-0005-0004-bc88714345d2_ContentBits">
    <vt:lpwstr>0</vt:lpwstr>
  </property>
</Properties>
</file>