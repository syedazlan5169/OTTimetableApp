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42A87795-5ADA-44A3-9E43-EDC74F72EE02}" xr6:coauthVersionLast="47" xr6:coauthVersionMax="47" xr10:uidLastSave="{00000000-0000-0000-0000-000000000000}"/>
  <bookViews>
    <workbookView xWindow="5550" yWindow="1020" windowWidth="22500" windowHeight="11790" xr2:uid="{00000000-000D-0000-FFFF-FFFF00000000}"/>
  </bookViews>
  <sheets>
    <sheet name="Claim" sheetId="92" r:id="rId1"/>
  </sheets>
  <definedNames>
    <definedName name="_xlnm.Print_Area" localSheetId="0">Claim!$A$1:$R$143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0" i="92" l="1"/>
  <c r="N21" i="92"/>
  <c r="N22" i="92"/>
  <c r="N23" i="92"/>
  <c r="N24" i="92"/>
  <c r="N25" i="92"/>
  <c r="N26" i="92"/>
  <c r="N27" i="92"/>
  <c r="N28" i="92"/>
  <c r="N29" i="92"/>
  <c r="N30" i="92"/>
  <c r="N31" i="92"/>
  <c r="N32" i="92"/>
  <c r="N33" i="92"/>
  <c r="N34" i="92"/>
  <c r="N35" i="92"/>
  <c r="N36" i="92"/>
  <c r="N37" i="92"/>
  <c r="N38" i="92"/>
  <c r="N39" i="92"/>
  <c r="N40" i="92"/>
  <c r="N41" i="92"/>
  <c r="N42" i="92"/>
  <c r="N43" i="92"/>
  <c r="N44" i="92"/>
  <c r="N45" i="92"/>
  <c r="N46" i="92"/>
  <c r="N47" i="92"/>
  <c r="N48" i="92"/>
  <c r="N49" i="92"/>
  <c r="N50" i="92"/>
  <c r="N51" i="92"/>
  <c r="N52" i="92"/>
  <c r="N53" i="92"/>
  <c r="H18" i="92"/>
  <c r="A25" i="92"/>
  <c r="M23" i="92" s="1"/>
  <c r="P79" i="92"/>
  <c r="O78" i="92"/>
  <c r="O81" i="92"/>
  <c r="M18" i="92"/>
  <c r="D126" i="92"/>
  <c r="F77" i="92"/>
  <c r="F75" i="92"/>
  <c r="A53" i="92"/>
  <c r="M51" i="92" s="1"/>
  <c r="A51" i="92"/>
  <c r="M49" i="92" s="1"/>
  <c r="M50" i="92"/>
  <c r="A49" i="92"/>
  <c r="M47" i="92" s="1"/>
  <c r="M48" i="92"/>
  <c r="A47" i="92"/>
  <c r="M45" i="92" s="1"/>
  <c r="M46" i="92"/>
  <c r="A45" i="92"/>
  <c r="M44" i="92"/>
  <c r="A43" i="92"/>
  <c r="M42" i="92"/>
  <c r="A41" i="92"/>
  <c r="M40" i="92"/>
  <c r="A39" i="92"/>
  <c r="M38" i="92"/>
  <c r="A37" i="92"/>
  <c r="M35" i="92" s="1"/>
  <c r="M36" i="92"/>
  <c r="A35" i="92"/>
  <c r="M33" i="92" s="1"/>
  <c r="M34" i="92"/>
  <c r="A33" i="92"/>
  <c r="M32" i="92"/>
  <c r="A31" i="92"/>
  <c r="M30" i="92"/>
  <c r="A29" i="92"/>
  <c r="M28" i="92"/>
  <c r="A27" i="92"/>
  <c r="M25" i="92" s="1"/>
  <c r="M26" i="92"/>
  <c r="M24" i="92"/>
  <c r="A23" i="92"/>
  <c r="M22" i="92"/>
  <c r="A21" i="92"/>
  <c r="M20" i="92"/>
  <c r="N19" i="92"/>
  <c r="N18" i="92"/>
  <c r="P12" i="92"/>
  <c r="P11" i="92"/>
  <c r="P10" i="92"/>
  <c r="P9" i="92"/>
  <c r="F59" i="92"/>
  <c r="M19" i="92" l="1"/>
  <c r="M21" i="92"/>
  <c r="F54" i="92"/>
  <c r="M43" i="92"/>
  <c r="M41" i="92"/>
  <c r="M39" i="92"/>
  <c r="M37" i="92"/>
  <c r="M31" i="92"/>
  <c r="M29" i="92"/>
  <c r="M27" i="92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<sst xmlns="http://schemas.openxmlformats.org/spreadsheetml/2006/main" count="148" uniqueCount="112">
  <si>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</si>
  <si>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</si>
  <si>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</si>
  <si>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</si>
  <si>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</si>
  <si>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</si>
  <si>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</si>
  <si>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</si>
  <si>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</si>
  <si>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</si>
  <si>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</si>
  <si>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</si>
  <si>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</si>
  <si>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</si>
  <si>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</si>
  <si>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</si>
  <si>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</si>
  <si>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</si>
  <si>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</si>
  <si>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</si>
  <si>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</si>
  <si>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</si>
  <si>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</si>
  <si>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</si>
  <si>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</si>
  <si>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</si>
  <si>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</si>
  <si>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</si>
  <si>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</si>
  <si>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</si>
  <si>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</si>
  <si>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</si>
  <si>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</si>
  <si>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</si>
  <si>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</si>
  <si>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</si>
  <si>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</si>
  <si>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</si>
  <si>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</si>
  <si>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</si>
  <si>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</si>
  <si>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</si>
  <si>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</si>
  <si>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</si>
  <si>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</si>
  <si>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</si>
  <si>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</si>
  <si>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</si>
  <si>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</si>
  <si>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</si>
  <si>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</si>
  <si>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</si>
  <si>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</si>
  <si>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</si>
  <si>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</si>
  <si>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</si>
  <si>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</si>
  <si>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</si>
  <si>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</si>
  <si>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</si>
  <si>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</si>
  <si>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</si>
  <si>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</si>
  <si>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</si>
  <si>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</si>
  <si>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</si>
  <si>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</si>
  <si>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</si>
  <si>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</si>
  <si>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</si>
  <si>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</si>
  <si>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</si>
  <si>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</si>
  <si>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</si>
  <si>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</si>
  <si>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</si>
  <si>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</si>
  <si>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</si>
  <si>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</si>
  <si>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</si>
  <si>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</si>
  <si>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</si>
  <si>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</si>
  <si>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</si>
  <si>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</si>
  <si>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</si>
  <si>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</si>
  <si>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</si>
  <si>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</si>
  <si>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</si>
  <si>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</si>
  <si>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</si>
  <si>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</si>
  <si>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</si>
  <si>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</si>
  <si>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</si>
  <si>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</si>
  <si>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</si>
  <si>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</si>
  <si>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</si>
  <si>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</si>
  <si>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</si>
  <si>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</si>
  <si>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</si>
  <si>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</si>
  <si>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</si>
  <si>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</si>
  <si>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LEBIHAN JAM BERTUGAS KUMPULAN</t>
  </si>
  <si>
    <t>RUJUK JADUAL DI LAMPIRAN</t>
  </si>
  <si>
    <t>Jadual bertugas waktu bukan pejabat termasuk jumlah keseluruhan jam bertugas bagi bulan tuntutan</t>
  </si>
  <si>
    <t>BAHAGIAN/CAWANGAN</t>
  </si>
  <si>
    <t>BULAN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</si>
</sst>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1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  <xf numFmtId="0" fontId="23" fillId="0" borderId="0" xfId="0" applyFont="1" applyAlignment="1" applyProtection="1">
      <alignment horizontal="center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0" fontId="36" fillId="0" borderId="0" xfId="0" applyFont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37" fillId="0" borderId="0" xfId="0" applyFont="1" applyProtection="1"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16</xdr:col>
      <xdr:colOff>25400</xdr:colOff>
      <xdr:row>17</xdr:row>
      <xdr:rowOff>88900</xdr:rowOff>
    </xdr:from>
    <xdr:to>
      <xdr:col>16</xdr:col>
      <xdr:colOff>488950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3074650" y="3403600"/>
          <a:ext cx="463550" cy="672465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18</xdr:col>
      <xdr:colOff>584210</xdr:colOff>
      <xdr:row>2</xdr:row>
      <xdr:rowOff>95180</xdr:rowOff>
    </xdr:from>
    <xdr:to>
      <xdr:col>18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R148"/>
  <sheetViews>
    <sheetView showGridLines="0" tabSelected="1" view="pageBreakPreview" topLeftCell="E7" zoomScaleNormal="100" zoomScaleSheetLayoutView="100" workbookViewId="0">
      <selection activeCell="P18" sqref="P18:P53"/>
    </sheetView>
  </sheetViews>
  <sheetFormatPr defaultColWidth="9.140625" defaultRowHeight="15" x14ac:dyDescent="0.25"/>
  <cols>
    <col min="1" max="1" width="12.140625" style="8" bestFit="1" customWidth="1"/>
    <col min="2" max="2" width="8.42578125" style="8" customWidth="1"/>
    <col min="3" max="3" width="8.5703125" style="8" customWidth="1"/>
    <col min="4" max="4" width="9.140625" style="8"/>
    <col min="5" max="5" width="8.5703125" style="8" customWidth="1"/>
    <col min="6" max="6" width="12" style="8" customWidth="1"/>
    <col min="7" max="8" width="9.28515625" style="8" customWidth="1"/>
    <col min="9" max="9" width="10" style="8" customWidth="1"/>
    <col min="10" max="11" width="9.28515625" style="8" customWidth="1"/>
    <col min="12" max="12" width="15.28515625" style="8" customWidth="1"/>
    <col min="13" max="13" width="13.140625" style="8" customWidth="1"/>
    <col min="14" max="15" width="7.42578125" style="8" customWidth="1"/>
    <col min="16" max="16" width="28.28515625" style="8" customWidth="1"/>
    <col min="17" max="17" width="30.5703125" style="8" customWidth="1"/>
    <col min="18" max="18" width="31.85546875" style="8" customWidth="1"/>
    <col min="19" max="16384" width="9.140625" style="8"/>
  </cols>
  <sheetData>
    <row r="1" spans="1:18" ht="15.75" x14ac:dyDescent="0.25">
      <c r="A1" s="164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9"/>
      <c r="N1" s="9"/>
      <c r="O1" s="9"/>
      <c r="P1" s="9"/>
      <c r="Q1" s="9"/>
    </row>
    <row r="2" spans="1:18" ht="15.75" x14ac:dyDescent="0.25">
      <c r="A2" s="164" t="s">
        <v>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51"/>
      <c r="N2" s="151"/>
      <c r="O2" s="151"/>
      <c r="P2" s="151"/>
      <c r="Q2" s="151"/>
      <c r="R2" s="151"/>
    </row>
    <row r="3" spans="1:18" ht="15.75" x14ac:dyDescent="0.2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O3" s="9"/>
      <c r="P3" s="9"/>
      <c r="Q3" s="9"/>
      <c r="R3" s="9"/>
    </row>
    <row r="4" spans="1:18" ht="15.75" x14ac:dyDescent="0.25">
      <c r="A4" s="177" t="s">
        <v>2</v>
      </c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O4" s="9"/>
      <c r="P4" s="9"/>
      <c r="Q4" s="9"/>
      <c r="R4" s="9"/>
    </row>
    <row r="5" spans="1:18" ht="18" x14ac:dyDescent="0.25">
      <c r="A5" s="178"/>
      <c r="B5" s="178"/>
      <c r="C5" s="178"/>
      <c r="D5" s="178"/>
      <c r="E5" s="178"/>
      <c r="F5" s="178"/>
      <c r="G5" s="178"/>
      <c r="H5" s="178"/>
      <c r="I5" s="178"/>
      <c r="J5" s="178"/>
      <c r="K5" s="178"/>
      <c r="L5" s="178"/>
      <c r="O5" s="9"/>
      <c r="P5" s="9"/>
      <c r="Q5" s="9"/>
      <c r="R5" s="15" t="s">
        <v>58</v>
      </c>
    </row>
    <row r="6" spans="1:18" ht="15.75" x14ac:dyDescent="0.25">
      <c r="A6" s="179" t="s">
        <v>3</v>
      </c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O6" s="16"/>
      <c r="P6" s="9"/>
      <c r="Q6" s="9"/>
      <c r="R6" s="9"/>
    </row>
    <row r="7" spans="1:18" ht="15.75" x14ac:dyDescent="0.2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M7" s="9"/>
      <c r="N7" s="9"/>
      <c r="O7" s="9"/>
      <c r="P7" s="9"/>
      <c r="Q7" s="9"/>
      <c r="R7" s="9"/>
    </row>
    <row r="8" spans="1:18" ht="15" customHeight="1" x14ac:dyDescent="0.2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8" ht="15.75" x14ac:dyDescent="0.25">
      <c r="A9" s="19" t="s">
        <v>86</v>
      </c>
      <c r="B9" s="20" t="s">
        <v>5</v>
      </c>
      <c r="C9" s="180"/>
      <c r="D9" s="180"/>
      <c r="E9" s="180"/>
      <c r="F9" s="22"/>
      <c r="G9" s="22"/>
      <c r="H9" s="19" t="s">
        <v>7</v>
      </c>
      <c r="I9" s="19"/>
      <c r="J9" s="23"/>
      <c r="K9" s="20" t="s">
        <v>5</v>
      </c>
      <c r="L9" s="137"/>
      <c r="M9" s="144" t="s">
        <v>100</v>
      </c>
      <c r="N9" s="9"/>
      <c r="O9" s="24"/>
      <c r="P9" s="146" t="str">
        <f>":   "&amp;C8</f>
        <v xml:space="preserve">:   </v>
      </c>
    </row>
    <row r="10" spans="1:18" ht="15" customHeight="1" x14ac:dyDescent="0.2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M10" s="144" t="s">
        <v>101</v>
      </c>
      <c r="N10" s="9"/>
      <c r="O10" s="24"/>
      <c r="P10" s="146" t="str">
        <f>":   "&amp;C10</f>
        <v xml:space="preserve">:   </v>
      </c>
    </row>
    <row r="11" spans="1:18" ht="15" customHeight="1" x14ac:dyDescent="0.2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M11" s="144" t="s">
        <v>110</v>
      </c>
      <c r="N11" s="9"/>
      <c r="O11" s="24"/>
      <c r="P11" s="146" t="str">
        <f>":   "&amp;C11</f>
        <v xml:space="preserve">:   </v>
      </c>
    </row>
    <row r="12" spans="1:18" ht="15.75" x14ac:dyDescent="0.2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M12" s="145" t="s">
        <v>111</v>
      </c>
      <c r="N12" s="16"/>
      <c r="O12" s="24"/>
      <c r="P12" s="146" t="str">
        <f>":   "&amp;A5</f>
        <v xml:space="preserve">:   </v>
      </c>
    </row>
    <row r="13" spans="1:18" x14ac:dyDescent="0.2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8" ht="15.75" thickBot="1" x14ac:dyDescent="0.3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8" ht="15" customHeight="1" x14ac:dyDescent="0.25">
      <c r="A15" s="28" t="s">
        <v>15</v>
      </c>
      <c r="B15" s="165" t="s">
        <v>16</v>
      </c>
      <c r="C15" s="165"/>
      <c r="D15" s="167" t="s">
        <v>17</v>
      </c>
      <c r="E15" s="168"/>
      <c r="F15" s="168" t="s">
        <v>18</v>
      </c>
      <c r="G15" s="173" t="s">
        <v>19</v>
      </c>
      <c r="H15" s="173"/>
      <c r="I15" s="173"/>
      <c r="J15" s="173"/>
      <c r="K15" s="174"/>
      <c r="L15" s="154" t="s">
        <v>20</v>
      </c>
      <c r="M15" s="157" t="s">
        <v>59</v>
      </c>
      <c r="N15" s="160" t="s">
        <v>60</v>
      </c>
      <c r="O15" s="161"/>
      <c r="P15" s="157" t="s">
        <v>61</v>
      </c>
      <c r="Q15" s="181" t="s">
        <v>62</v>
      </c>
      <c r="R15" s="157" t="s">
        <v>20</v>
      </c>
    </row>
    <row r="16" spans="1:18" ht="15.75" thickBot="1" x14ac:dyDescent="0.3">
      <c r="A16" s="29" t="s">
        <v>21</v>
      </c>
      <c r="B16" s="166"/>
      <c r="C16" s="166"/>
      <c r="D16" s="169"/>
      <c r="E16" s="170"/>
      <c r="F16" s="171"/>
      <c r="G16" s="175"/>
      <c r="H16" s="175"/>
      <c r="I16" s="175"/>
      <c r="J16" s="175"/>
      <c r="K16" s="176"/>
      <c r="L16" s="155"/>
      <c r="M16" s="158"/>
      <c r="N16" s="162"/>
      <c r="O16" s="163"/>
      <c r="P16" s="158"/>
      <c r="Q16" s="182"/>
      <c r="R16" s="158"/>
    </row>
    <row r="17" spans="1:18" ht="15.75" thickBot="1" x14ac:dyDescent="0.3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172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156"/>
      <c r="M17" s="159"/>
      <c r="N17" s="38" t="s">
        <v>23</v>
      </c>
      <c r="O17" s="38" t="s">
        <v>24</v>
      </c>
      <c r="P17" s="159"/>
      <c r="Q17" s="183"/>
      <c r="R17" s="159"/>
    </row>
    <row r="18" spans="1:18" ht="15" customHeight="1" x14ac:dyDescent="0.25">
      <c r="A18" s="195" t="s">
        <v>107</v>
      </c>
      <c r="B18" s="175"/>
      <c r="C18" s="175"/>
      <c r="D18" s="175"/>
      <c r="E18" s="196"/>
      <c r="F18" s="200"/>
      <c r="G18" s="152"/>
      <c r="H18" s="152">
        <f>F18</f>
        <v>0</v>
      </c>
      <c r="I18" s="152"/>
      <c r="J18" s="152"/>
      <c r="K18" s="186"/>
      <c r="L18" s="188" t="s">
        <v>108</v>
      </c>
      <c r="M18" s="147" t="str">
        <f>IF(ISBLANK(A20),"",A20)</f>
        <v/>
      </c>
      <c r="N18" s="208" t="str">
        <f>IF(ISBLANK(D20),"",D20)</f>
        <v/>
      </c>
      <c r="O18" s="209"/>
      <c r="P18" s="190"/>
      <c r="Q18" s="211"/>
      <c r="R18" s="149"/>
    </row>
    <row r="19" spans="1:18" ht="15" customHeight="1" x14ac:dyDescent="0.25">
      <c r="A19" s="197"/>
      <c r="B19" s="198"/>
      <c r="C19" s="198"/>
      <c r="D19" s="198"/>
      <c r="E19" s="199"/>
      <c r="F19" s="201"/>
      <c r="G19" s="153"/>
      <c r="H19" s="153"/>
      <c r="I19" s="153"/>
      <c r="J19" s="153"/>
      <c r="K19" s="187"/>
      <c r="L19" s="189"/>
      <c r="M19" s="148" t="str">
        <f>A21</f>
        <v/>
      </c>
      <c r="N19" s="206" t="str">
        <f>IF(ISBLANK(D21),"",D21)</f>
        <v/>
      </c>
      <c r="O19" s="207"/>
      <c r="P19" s="191"/>
      <c r="Q19" s="212"/>
      <c r="R19" s="150"/>
    </row>
    <row r="20" spans="1:18" ht="15" customHeight="1" x14ac:dyDescent="0.25">
      <c r="A20" s="142"/>
      <c r="B20" s="185"/>
      <c r="C20" s="185"/>
      <c r="D20" s="204"/>
      <c r="E20" s="205"/>
      <c r="F20" s="139"/>
      <c r="G20" s="129"/>
      <c r="H20" s="129"/>
      <c r="I20" s="129"/>
      <c r="J20" s="129"/>
      <c r="K20" s="129"/>
      <c r="L20" s="193"/>
      <c r="M20" s="147" t="str">
        <f>IF(ISBLANK(A22),"",A22)</f>
        <v/>
      </c>
      <c r="N20" s="208" t="str">
        <f t="shared" ref="N20:N53" si="0">IF(ISBLANK(D22),"",D22)</f>
        <v/>
      </c>
      <c r="O20" s="209"/>
      <c r="P20" s="191"/>
      <c r="Q20" s="212"/>
      <c r="R20" s="149"/>
    </row>
    <row r="21" spans="1:18" ht="15" customHeight="1" x14ac:dyDescent="0.25">
      <c r="A21" s="1" t="str">
        <f t="shared" ref="A21" si="1">IF(A20="","",UPPER(TEXT(A20,"[$-043E]DDDD")))</f>
        <v/>
      </c>
      <c r="B21" s="185"/>
      <c r="C21" s="185"/>
      <c r="D21" s="202"/>
      <c r="E21" s="203"/>
      <c r="F21" s="141"/>
      <c r="G21" s="127"/>
      <c r="H21" s="127"/>
      <c r="I21" s="127"/>
      <c r="J21" s="127"/>
      <c r="K21" s="128"/>
      <c r="L21" s="193"/>
      <c r="M21" s="148" t="str">
        <f>A23</f>
        <v/>
      </c>
      <c r="N21" s="206" t="str">
        <f t="shared" si="0"/>
        <v/>
      </c>
      <c r="O21" s="207"/>
      <c r="P21" s="191"/>
      <c r="Q21" s="212"/>
      <c r="R21" s="150"/>
    </row>
    <row r="22" spans="1:18" ht="15" customHeight="1" x14ac:dyDescent="0.25">
      <c r="A22" s="134"/>
      <c r="B22" s="184"/>
      <c r="C22" s="184"/>
      <c r="D22" s="204"/>
      <c r="E22" s="205"/>
      <c r="F22" s="139"/>
      <c r="G22" s="129"/>
      <c r="H22" s="129"/>
      <c r="I22" s="129"/>
      <c r="J22" s="129"/>
      <c r="K22" s="129"/>
      <c r="L22" s="193"/>
      <c r="M22" s="147" t="str">
        <f t="shared" ref="M22" si="2">IF(ISBLANK(A24),"",A24)</f>
        <v/>
      </c>
      <c r="N22" s="208" t="str">
        <f t="shared" si="0"/>
        <v/>
      </c>
      <c r="O22" s="209"/>
      <c r="P22" s="191"/>
      <c r="Q22" s="212"/>
      <c r="R22" s="149"/>
    </row>
    <row r="23" spans="1:18" ht="15" customHeight="1" x14ac:dyDescent="0.25">
      <c r="A23" s="1" t="str">
        <f t="shared" ref="A23:A25" si="3">IF(A22="","",UPPER(TEXT(A22,"[$-043E]DDDD")))</f>
        <v/>
      </c>
      <c r="B23" s="185"/>
      <c r="C23" s="185"/>
      <c r="D23" s="202"/>
      <c r="E23" s="203"/>
      <c r="F23" s="141"/>
      <c r="G23" s="127"/>
      <c r="H23" s="127"/>
      <c r="I23" s="127"/>
      <c r="J23" s="127"/>
      <c r="K23" s="128"/>
      <c r="L23" s="193"/>
      <c r="M23" s="148" t="str">
        <f t="shared" ref="M23" si="4">A25</f>
        <v/>
      </c>
      <c r="N23" s="206" t="str">
        <f t="shared" si="0"/>
        <v/>
      </c>
      <c r="O23" s="207"/>
      <c r="P23" s="191"/>
      <c r="Q23" s="212"/>
      <c r="R23" s="150"/>
    </row>
    <row r="24" spans="1:18" ht="15" customHeight="1" x14ac:dyDescent="0.25">
      <c r="A24" s="134"/>
      <c r="B24" s="184"/>
      <c r="C24" s="184"/>
      <c r="D24" s="204"/>
      <c r="E24" s="205"/>
      <c r="F24" s="139"/>
      <c r="G24" s="129"/>
      <c r="H24" s="129"/>
      <c r="I24" s="129"/>
      <c r="J24" s="129"/>
      <c r="K24" s="129"/>
      <c r="L24" s="193"/>
      <c r="M24" s="147" t="str">
        <f t="shared" ref="M24" si="5">IF(ISBLANK(A26),"",A26)</f>
        <v/>
      </c>
      <c r="N24" s="208" t="str">
        <f t="shared" si="0"/>
        <v/>
      </c>
      <c r="O24" s="209"/>
      <c r="P24" s="191"/>
      <c r="Q24" s="212"/>
      <c r="R24" s="149"/>
    </row>
    <row r="25" spans="1:18" ht="15" customHeight="1" x14ac:dyDescent="0.25">
      <c r="A25" s="1" t="str">
        <f t="shared" si="3"/>
        <v/>
      </c>
      <c r="B25" s="185"/>
      <c r="C25" s="185"/>
      <c r="D25" s="202"/>
      <c r="E25" s="203"/>
      <c r="F25" s="141"/>
      <c r="G25" s="127"/>
      <c r="H25" s="127"/>
      <c r="I25" s="127"/>
      <c r="J25" s="127"/>
      <c r="K25" s="128"/>
      <c r="L25" s="193"/>
      <c r="M25" s="148" t="str">
        <f t="shared" ref="M25" si="6">A27</f>
        <v/>
      </c>
      <c r="N25" s="206" t="str">
        <f t="shared" si="0"/>
        <v/>
      </c>
      <c r="O25" s="207"/>
      <c r="P25" s="191"/>
      <c r="Q25" s="212"/>
      <c r="R25" s="150"/>
    </row>
    <row r="26" spans="1:18" ht="15" customHeight="1" x14ac:dyDescent="0.25">
      <c r="A26" s="134"/>
      <c r="B26" s="184"/>
      <c r="C26" s="184"/>
      <c r="D26" s="204"/>
      <c r="E26" s="205"/>
      <c r="F26" s="139"/>
      <c r="G26" s="129"/>
      <c r="H26" s="129"/>
      <c r="I26" s="129"/>
      <c r="J26" s="129"/>
      <c r="K26" s="129"/>
      <c r="L26" s="193"/>
      <c r="M26" s="147" t="str">
        <f t="shared" ref="M26" si="7">IF(ISBLANK(A28),"",A28)</f>
        <v/>
      </c>
      <c r="N26" s="208" t="str">
        <f t="shared" si="0"/>
        <v/>
      </c>
      <c r="O26" s="209"/>
      <c r="P26" s="191"/>
      <c r="Q26" s="212"/>
      <c r="R26" s="149"/>
    </row>
    <row r="27" spans="1:18" ht="15" customHeight="1" x14ac:dyDescent="0.25">
      <c r="A27" s="1" t="str">
        <f t="shared" ref="A27" si="8">IF(A26="","",UPPER(TEXT(A26,"[$-043E]DDDD")))</f>
        <v/>
      </c>
      <c r="B27" s="185"/>
      <c r="C27" s="185"/>
      <c r="D27" s="202"/>
      <c r="E27" s="203"/>
      <c r="F27" s="141"/>
      <c r="G27" s="127"/>
      <c r="H27" s="127"/>
      <c r="I27" s="127"/>
      <c r="J27" s="127"/>
      <c r="K27" s="128"/>
      <c r="L27" s="193"/>
      <c r="M27" s="148" t="str">
        <f t="shared" ref="M27" si="9">A29</f>
        <v/>
      </c>
      <c r="N27" s="206" t="str">
        <f t="shared" si="0"/>
        <v/>
      </c>
      <c r="O27" s="207"/>
      <c r="P27" s="191"/>
      <c r="Q27" s="212"/>
      <c r="R27" s="150"/>
    </row>
    <row r="28" spans="1:18" ht="15" customHeight="1" x14ac:dyDescent="0.25">
      <c r="A28" s="135"/>
      <c r="B28" s="184"/>
      <c r="C28" s="184"/>
      <c r="D28" s="204"/>
      <c r="E28" s="205"/>
      <c r="F28" s="139"/>
      <c r="G28" s="129"/>
      <c r="H28" s="129"/>
      <c r="I28" s="129"/>
      <c r="J28" s="129"/>
      <c r="K28" s="129"/>
      <c r="L28" s="193"/>
      <c r="M28" s="147" t="str">
        <f t="shared" ref="M28" si="10">IF(ISBLANK(A30),"",A30)</f>
        <v/>
      </c>
      <c r="N28" s="208" t="str">
        <f t="shared" si="0"/>
        <v/>
      </c>
      <c r="O28" s="209"/>
      <c r="P28" s="191"/>
      <c r="Q28" s="212"/>
      <c r="R28" s="149"/>
    </row>
    <row r="29" spans="1:18" ht="15" customHeight="1" x14ac:dyDescent="0.25">
      <c r="A29" s="6" t="str">
        <f t="shared" ref="A29" si="11">IF(A28="","",UPPER(TEXT(A28,"[$-043E]DDDD")))</f>
        <v/>
      </c>
      <c r="B29" s="185"/>
      <c r="C29" s="185"/>
      <c r="D29" s="202"/>
      <c r="E29" s="203"/>
      <c r="F29" s="141"/>
      <c r="G29" s="127"/>
      <c r="H29" s="127"/>
      <c r="I29" s="127"/>
      <c r="J29" s="129"/>
      <c r="K29" s="128"/>
      <c r="L29" s="193"/>
      <c r="M29" s="148" t="str">
        <f t="shared" ref="M29" si="12">A31</f>
        <v/>
      </c>
      <c r="N29" s="206" t="str">
        <f t="shared" si="0"/>
        <v/>
      </c>
      <c r="O29" s="207"/>
      <c r="P29" s="191"/>
      <c r="Q29" s="212"/>
      <c r="R29" s="150"/>
    </row>
    <row r="30" spans="1:18" ht="15" customHeight="1" x14ac:dyDescent="0.25">
      <c r="A30" s="134"/>
      <c r="B30" s="184"/>
      <c r="C30" s="184"/>
      <c r="D30" s="204"/>
      <c r="E30" s="205"/>
      <c r="F30" s="139"/>
      <c r="G30" s="129"/>
      <c r="H30" s="129"/>
      <c r="I30" s="140"/>
      <c r="J30" s="143"/>
      <c r="K30" s="139"/>
      <c r="L30" s="193"/>
      <c r="M30" s="147" t="str">
        <f t="shared" ref="M30" si="13">IF(ISBLANK(A32),"",A32)</f>
        <v/>
      </c>
      <c r="N30" s="208" t="str">
        <f t="shared" si="0"/>
        <v/>
      </c>
      <c r="O30" s="209"/>
      <c r="P30" s="191"/>
      <c r="Q30" s="212"/>
      <c r="R30" s="149"/>
    </row>
    <row r="31" spans="1:18" ht="15" customHeight="1" x14ac:dyDescent="0.25">
      <c r="A31" s="1" t="str">
        <f t="shared" ref="A31" si="14">IF(A30="","",UPPER(TEXT(A30,"[$-043E]DDDD")))</f>
        <v/>
      </c>
      <c r="B31" s="185"/>
      <c r="C31" s="185"/>
      <c r="D31" s="202"/>
      <c r="E31" s="203"/>
      <c r="F31" s="141"/>
      <c r="G31" s="127"/>
      <c r="H31" s="127"/>
      <c r="I31" s="127"/>
      <c r="J31" s="127"/>
      <c r="K31" s="128"/>
      <c r="L31" s="193"/>
      <c r="M31" s="148" t="str">
        <f t="shared" ref="M31" si="15">A33</f>
        <v/>
      </c>
      <c r="N31" s="206" t="str">
        <f t="shared" si="0"/>
        <v/>
      </c>
      <c r="O31" s="207"/>
      <c r="P31" s="191"/>
      <c r="Q31" s="212"/>
      <c r="R31" s="150"/>
    </row>
    <row r="32" spans="1:18" ht="15" customHeight="1" x14ac:dyDescent="0.25">
      <c r="A32" s="134"/>
      <c r="B32" s="184"/>
      <c r="C32" s="184"/>
      <c r="D32" s="204"/>
      <c r="E32" s="205"/>
      <c r="F32" s="139"/>
      <c r="G32" s="129"/>
      <c r="H32" s="129"/>
      <c r="I32" s="129"/>
      <c r="J32" s="129"/>
      <c r="K32" s="129"/>
      <c r="L32" s="193"/>
      <c r="M32" s="147" t="str">
        <f t="shared" ref="M32" si="16">IF(ISBLANK(A34),"",A34)</f>
        <v/>
      </c>
      <c r="N32" s="208" t="str">
        <f t="shared" si="0"/>
        <v/>
      </c>
      <c r="O32" s="209"/>
      <c r="P32" s="191"/>
      <c r="Q32" s="212"/>
      <c r="R32" s="149"/>
    </row>
    <row r="33" spans="1:18" ht="15" customHeight="1" x14ac:dyDescent="0.25">
      <c r="A33" s="1" t="str">
        <f t="shared" ref="A33" si="17">IF(A32="","",UPPER(TEXT(A32,"[$-043E]DDDD")))</f>
        <v/>
      </c>
      <c r="B33" s="185"/>
      <c r="C33" s="185"/>
      <c r="D33" s="202"/>
      <c r="E33" s="203"/>
      <c r="F33" s="141"/>
      <c r="G33" s="127"/>
      <c r="H33" s="127"/>
      <c r="I33" s="127"/>
      <c r="J33" s="127"/>
      <c r="K33" s="128"/>
      <c r="L33" s="193"/>
      <c r="M33" s="148" t="str">
        <f t="shared" ref="M33" si="18">A35</f>
        <v/>
      </c>
      <c r="N33" s="206" t="str">
        <f t="shared" si="0"/>
        <v/>
      </c>
      <c r="O33" s="207"/>
      <c r="P33" s="191"/>
      <c r="Q33" s="212"/>
      <c r="R33" s="150"/>
    </row>
    <row r="34" spans="1:18" ht="15" customHeight="1" x14ac:dyDescent="0.25">
      <c r="A34" s="134"/>
      <c r="B34" s="184"/>
      <c r="C34" s="184"/>
      <c r="D34" s="204"/>
      <c r="E34" s="205"/>
      <c r="F34" s="139"/>
      <c r="G34" s="129"/>
      <c r="H34" s="129"/>
      <c r="I34" s="129"/>
      <c r="J34" s="129"/>
      <c r="K34" s="129"/>
      <c r="L34" s="193"/>
      <c r="M34" s="147" t="str">
        <f t="shared" ref="M34" si="19">IF(ISBLANK(A36),"",A36)</f>
        <v/>
      </c>
      <c r="N34" s="208" t="str">
        <f t="shared" si="0"/>
        <v/>
      </c>
      <c r="O34" s="209"/>
      <c r="P34" s="191"/>
      <c r="Q34" s="212"/>
      <c r="R34" s="149"/>
    </row>
    <row r="35" spans="1:18" ht="15" customHeight="1" x14ac:dyDescent="0.25">
      <c r="A35" s="1" t="str">
        <f t="shared" ref="A35" si="20">IF(A34="","",UPPER(TEXT(A34,"[$-043E]DDDD")))</f>
        <v/>
      </c>
      <c r="B35" s="185"/>
      <c r="C35" s="185"/>
      <c r="D35" s="202"/>
      <c r="E35" s="203"/>
      <c r="F35" s="141"/>
      <c r="G35" s="127"/>
      <c r="H35" s="127"/>
      <c r="I35" s="127"/>
      <c r="J35" s="127"/>
      <c r="K35" s="128"/>
      <c r="L35" s="193"/>
      <c r="M35" s="148" t="str">
        <f t="shared" ref="M35" si="21">A37</f>
        <v/>
      </c>
      <c r="N35" s="206" t="str">
        <f t="shared" si="0"/>
        <v/>
      </c>
      <c r="O35" s="207"/>
      <c r="P35" s="191"/>
      <c r="Q35" s="212"/>
      <c r="R35" s="150"/>
    </row>
    <row r="36" spans="1:18" ht="15" customHeight="1" x14ac:dyDescent="0.25">
      <c r="A36" s="134"/>
      <c r="B36" s="184"/>
      <c r="C36" s="184"/>
      <c r="D36" s="204"/>
      <c r="E36" s="205"/>
      <c r="F36" s="139"/>
      <c r="G36" s="129"/>
      <c r="H36" s="129"/>
      <c r="I36" s="129"/>
      <c r="J36" s="129"/>
      <c r="K36" s="129"/>
      <c r="L36" s="193"/>
      <c r="M36" s="147" t="str">
        <f t="shared" ref="M36" si="22">IF(ISBLANK(A38),"",A38)</f>
        <v/>
      </c>
      <c r="N36" s="208" t="str">
        <f t="shared" si="0"/>
        <v/>
      </c>
      <c r="O36" s="209"/>
      <c r="P36" s="191"/>
      <c r="Q36" s="212"/>
      <c r="R36" s="149"/>
    </row>
    <row r="37" spans="1:18" ht="15" customHeight="1" x14ac:dyDescent="0.25">
      <c r="A37" s="1" t="str">
        <f t="shared" ref="A37" si="23">IF(A36="","",UPPER(TEXT(A36,"[$-043E]DDDD")))</f>
        <v/>
      </c>
      <c r="B37" s="185"/>
      <c r="C37" s="185"/>
      <c r="D37" s="202"/>
      <c r="E37" s="203"/>
      <c r="F37" s="141"/>
      <c r="G37" s="127"/>
      <c r="H37" s="127"/>
      <c r="I37" s="127"/>
      <c r="J37" s="127"/>
      <c r="K37" s="128"/>
      <c r="L37" s="193"/>
      <c r="M37" s="148" t="str">
        <f t="shared" ref="M37" si="24">A39</f>
        <v/>
      </c>
      <c r="N37" s="206" t="str">
        <f t="shared" si="0"/>
        <v/>
      </c>
      <c r="O37" s="207"/>
      <c r="P37" s="191"/>
      <c r="Q37" s="212"/>
      <c r="R37" s="150"/>
    </row>
    <row r="38" spans="1:18" ht="15" customHeight="1" x14ac:dyDescent="0.25">
      <c r="A38" s="134"/>
      <c r="B38" s="184"/>
      <c r="C38" s="184"/>
      <c r="D38" s="204"/>
      <c r="E38" s="205"/>
      <c r="F38" s="139"/>
      <c r="G38" s="129"/>
      <c r="H38" s="129"/>
      <c r="I38" s="129"/>
      <c r="J38" s="129"/>
      <c r="K38" s="129"/>
      <c r="L38" s="193"/>
      <c r="M38" s="147" t="str">
        <f t="shared" ref="M38" si="25">IF(ISBLANK(A40),"",A40)</f>
        <v/>
      </c>
      <c r="N38" s="208" t="str">
        <f t="shared" si="0"/>
        <v/>
      </c>
      <c r="O38" s="209"/>
      <c r="P38" s="191"/>
      <c r="Q38" s="212"/>
      <c r="R38" s="149"/>
    </row>
    <row r="39" spans="1:18" ht="15" customHeight="1" x14ac:dyDescent="0.25">
      <c r="A39" s="1" t="str">
        <f t="shared" ref="A39" si="26">IF(A38="","",UPPER(TEXT(A38,"[$-043E]DDDD")))</f>
        <v/>
      </c>
      <c r="B39" s="185"/>
      <c r="C39" s="185"/>
      <c r="D39" s="202"/>
      <c r="E39" s="203"/>
      <c r="F39" s="141"/>
      <c r="G39" s="127"/>
      <c r="H39" s="127"/>
      <c r="I39" s="127"/>
      <c r="J39" s="127"/>
      <c r="K39" s="128"/>
      <c r="L39" s="193"/>
      <c r="M39" s="148" t="str">
        <f t="shared" ref="M39" si="27">A41</f>
        <v/>
      </c>
      <c r="N39" s="206" t="str">
        <f t="shared" si="0"/>
        <v/>
      </c>
      <c r="O39" s="207"/>
      <c r="P39" s="191"/>
      <c r="Q39" s="212"/>
      <c r="R39" s="150"/>
    </row>
    <row r="40" spans="1:18" ht="15" customHeight="1" x14ac:dyDescent="0.25">
      <c r="A40" s="134"/>
      <c r="B40" s="184"/>
      <c r="C40" s="184"/>
      <c r="D40" s="204"/>
      <c r="E40" s="205"/>
      <c r="F40" s="139"/>
      <c r="G40" s="129"/>
      <c r="H40" s="129"/>
      <c r="I40" s="129"/>
      <c r="J40" s="129"/>
      <c r="K40" s="129"/>
      <c r="L40" s="193"/>
      <c r="M40" s="147" t="str">
        <f t="shared" ref="M40" si="28">IF(ISBLANK(A42),"",A42)</f>
        <v/>
      </c>
      <c r="N40" s="208" t="str">
        <f t="shared" si="0"/>
        <v/>
      </c>
      <c r="O40" s="209"/>
      <c r="P40" s="191"/>
      <c r="Q40" s="212"/>
      <c r="R40" s="149"/>
    </row>
    <row r="41" spans="1:18" ht="15" customHeight="1" x14ac:dyDescent="0.25">
      <c r="A41" s="1" t="str">
        <f t="shared" ref="A41" si="29">IF(A40="","",UPPER(TEXT(A40,"[$-043E]DDDD")))</f>
        <v/>
      </c>
      <c r="B41" s="185"/>
      <c r="C41" s="185"/>
      <c r="D41" s="202"/>
      <c r="E41" s="203"/>
      <c r="F41" s="141"/>
      <c r="G41" s="127"/>
      <c r="H41" s="127"/>
      <c r="I41" s="127"/>
      <c r="J41" s="127"/>
      <c r="K41" s="128"/>
      <c r="L41" s="193"/>
      <c r="M41" s="148" t="str">
        <f t="shared" ref="M41" si="30">A43</f>
        <v/>
      </c>
      <c r="N41" s="206" t="str">
        <f t="shared" si="0"/>
        <v/>
      </c>
      <c r="O41" s="207"/>
      <c r="P41" s="191"/>
      <c r="Q41" s="212"/>
      <c r="R41" s="150"/>
    </row>
    <row r="42" spans="1:18" ht="15" customHeight="1" x14ac:dyDescent="0.25">
      <c r="A42" s="134"/>
      <c r="B42" s="184"/>
      <c r="C42" s="184"/>
      <c r="D42" s="204"/>
      <c r="E42" s="205"/>
      <c r="F42" s="139"/>
      <c r="G42" s="129"/>
      <c r="H42" s="129"/>
      <c r="I42" s="129"/>
      <c r="J42" s="129"/>
      <c r="K42" s="129"/>
      <c r="L42" s="193"/>
      <c r="M42" s="147" t="str">
        <f t="shared" ref="M42" si="31">IF(ISBLANK(A44),"",A44)</f>
        <v/>
      </c>
      <c r="N42" s="208" t="str">
        <f t="shared" si="0"/>
        <v/>
      </c>
      <c r="O42" s="209"/>
      <c r="P42" s="191"/>
      <c r="Q42" s="212"/>
      <c r="R42" s="149"/>
    </row>
    <row r="43" spans="1:18" ht="15" customHeight="1" x14ac:dyDescent="0.25">
      <c r="A43" s="1" t="str">
        <f t="shared" ref="A43" si="32">IF(A42="","",UPPER(TEXT(A42,"[$-043E]DDDD")))</f>
        <v/>
      </c>
      <c r="B43" s="185"/>
      <c r="C43" s="185"/>
      <c r="D43" s="202"/>
      <c r="E43" s="203"/>
      <c r="F43" s="141"/>
      <c r="G43" s="127"/>
      <c r="H43" s="127"/>
      <c r="I43" s="127"/>
      <c r="J43" s="127"/>
      <c r="K43" s="128"/>
      <c r="L43" s="193"/>
      <c r="M43" s="148" t="str">
        <f t="shared" ref="M43" si="33">A45</f>
        <v/>
      </c>
      <c r="N43" s="206" t="str">
        <f t="shared" si="0"/>
        <v/>
      </c>
      <c r="O43" s="207"/>
      <c r="P43" s="191"/>
      <c r="Q43" s="212"/>
      <c r="R43" s="150"/>
    </row>
    <row r="44" spans="1:18" ht="15" customHeight="1" x14ac:dyDescent="0.25">
      <c r="A44" s="134"/>
      <c r="B44" s="184"/>
      <c r="C44" s="184"/>
      <c r="D44" s="204"/>
      <c r="E44" s="205"/>
      <c r="F44" s="139"/>
      <c r="G44" s="129"/>
      <c r="H44" s="129"/>
      <c r="I44" s="129"/>
      <c r="J44" s="129"/>
      <c r="K44" s="129"/>
      <c r="L44" s="193"/>
      <c r="M44" s="147" t="str">
        <f t="shared" ref="M44" si="34">IF(ISBLANK(A46),"",A46)</f>
        <v/>
      </c>
      <c r="N44" s="208" t="str">
        <f t="shared" si="0"/>
        <v/>
      </c>
      <c r="O44" s="209"/>
      <c r="P44" s="191"/>
      <c r="Q44" s="212"/>
      <c r="R44" s="149"/>
    </row>
    <row r="45" spans="1:18" ht="15" customHeight="1" x14ac:dyDescent="0.25">
      <c r="A45" s="1" t="str">
        <f t="shared" ref="A45" si="35">IF(A44="","",UPPER(TEXT(A44,"[$-043E]DDDD")))</f>
        <v/>
      </c>
      <c r="B45" s="185"/>
      <c r="C45" s="185"/>
      <c r="D45" s="202"/>
      <c r="E45" s="203"/>
      <c r="F45" s="141"/>
      <c r="G45" s="127"/>
      <c r="H45" s="127"/>
      <c r="I45" s="127"/>
      <c r="J45" s="127"/>
      <c r="K45" s="128"/>
      <c r="L45" s="193"/>
      <c r="M45" s="148" t="str">
        <f t="shared" ref="M45" si="36">A47</f>
        <v/>
      </c>
      <c r="N45" s="206" t="str">
        <f t="shared" si="0"/>
        <v/>
      </c>
      <c r="O45" s="207"/>
      <c r="P45" s="191"/>
      <c r="Q45" s="212"/>
      <c r="R45" s="150"/>
    </row>
    <row r="46" spans="1:18" ht="15" customHeight="1" x14ac:dyDescent="0.25">
      <c r="A46" s="134"/>
      <c r="B46" s="184"/>
      <c r="C46" s="184"/>
      <c r="D46" s="204"/>
      <c r="E46" s="205"/>
      <c r="F46" s="139"/>
      <c r="G46" s="129"/>
      <c r="H46" s="129"/>
      <c r="I46" s="129"/>
      <c r="J46" s="129"/>
      <c r="K46" s="129"/>
      <c r="L46" s="193"/>
      <c r="M46" s="147" t="str">
        <f t="shared" ref="M46" si="37">IF(ISBLANK(A48),"",A48)</f>
        <v/>
      </c>
      <c r="N46" s="208" t="str">
        <f t="shared" si="0"/>
        <v/>
      </c>
      <c r="O46" s="209"/>
      <c r="P46" s="191"/>
      <c r="Q46" s="212"/>
      <c r="R46" s="149"/>
    </row>
    <row r="47" spans="1:18" ht="15" customHeight="1" x14ac:dyDescent="0.25">
      <c r="A47" s="1" t="str">
        <f t="shared" ref="A47" si="38">IF(A46="","",UPPER(TEXT(A46,"[$-043E]DDDD")))</f>
        <v/>
      </c>
      <c r="B47" s="185"/>
      <c r="C47" s="185"/>
      <c r="D47" s="202"/>
      <c r="E47" s="203"/>
      <c r="F47" s="141"/>
      <c r="G47" s="127"/>
      <c r="H47" s="127"/>
      <c r="I47" s="127"/>
      <c r="J47" s="127"/>
      <c r="K47" s="128"/>
      <c r="L47" s="193"/>
      <c r="M47" s="148" t="str">
        <f t="shared" ref="M47" si="39">A49</f>
        <v/>
      </c>
      <c r="N47" s="206" t="str">
        <f t="shared" si="0"/>
        <v/>
      </c>
      <c r="O47" s="207"/>
      <c r="P47" s="191"/>
      <c r="Q47" s="212"/>
      <c r="R47" s="150"/>
    </row>
    <row r="48" spans="1:18" ht="15" customHeight="1" x14ac:dyDescent="0.25">
      <c r="A48" s="134"/>
      <c r="B48" s="184"/>
      <c r="C48" s="184"/>
      <c r="D48" s="204"/>
      <c r="E48" s="205"/>
      <c r="F48" s="139"/>
      <c r="G48" s="129"/>
      <c r="H48" s="129"/>
      <c r="I48" s="129"/>
      <c r="J48" s="129"/>
      <c r="K48" s="129"/>
      <c r="L48" s="193"/>
      <c r="M48" s="147" t="str">
        <f t="shared" ref="M48" si="40">IF(ISBLANK(A50),"",A50)</f>
        <v/>
      </c>
      <c r="N48" s="208" t="str">
        <f t="shared" si="0"/>
        <v/>
      </c>
      <c r="O48" s="209"/>
      <c r="P48" s="191"/>
      <c r="Q48" s="212"/>
      <c r="R48" s="149"/>
    </row>
    <row r="49" spans="1:18" ht="15" customHeight="1" x14ac:dyDescent="0.25">
      <c r="A49" s="1" t="str">
        <f t="shared" ref="A49" si="41">IF(A48="","",UPPER(TEXT(A48,"[$-043E]DDDD")))</f>
        <v/>
      </c>
      <c r="B49" s="185"/>
      <c r="C49" s="185"/>
      <c r="D49" s="202"/>
      <c r="E49" s="203"/>
      <c r="F49" s="141"/>
      <c r="G49" s="127"/>
      <c r="H49" s="127"/>
      <c r="I49" s="127"/>
      <c r="J49" s="127"/>
      <c r="K49" s="128"/>
      <c r="L49" s="193"/>
      <c r="M49" s="148" t="str">
        <f t="shared" ref="M49" si="42">A51</f>
        <v/>
      </c>
      <c r="N49" s="206" t="str">
        <f t="shared" si="0"/>
        <v/>
      </c>
      <c r="O49" s="207"/>
      <c r="P49" s="191"/>
      <c r="Q49" s="212"/>
      <c r="R49" s="150"/>
    </row>
    <row r="50" spans="1:18" ht="15" customHeight="1" x14ac:dyDescent="0.25">
      <c r="A50" s="134"/>
      <c r="B50" s="184"/>
      <c r="C50" s="184"/>
      <c r="D50" s="204"/>
      <c r="E50" s="205"/>
      <c r="F50" s="139"/>
      <c r="G50" s="129"/>
      <c r="H50" s="129"/>
      <c r="I50" s="129"/>
      <c r="J50" s="129"/>
      <c r="K50" s="129"/>
      <c r="L50" s="193"/>
      <c r="M50" s="147" t="str">
        <f t="shared" ref="M50" si="43">IF(ISBLANK(A52),"",A52)</f>
        <v/>
      </c>
      <c r="N50" s="208" t="str">
        <f t="shared" si="0"/>
        <v/>
      </c>
      <c r="O50" s="209"/>
      <c r="P50" s="191"/>
      <c r="Q50" s="212"/>
      <c r="R50" s="149"/>
    </row>
    <row r="51" spans="1:18" ht="15" customHeight="1" x14ac:dyDescent="0.25">
      <c r="A51" s="1" t="str">
        <f t="shared" ref="A51" si="44">IF(A50="","",UPPER(TEXT(A50,"[$-043E]DDDD")))</f>
        <v/>
      </c>
      <c r="B51" s="185"/>
      <c r="C51" s="185"/>
      <c r="D51" s="202"/>
      <c r="E51" s="203"/>
      <c r="F51" s="141"/>
      <c r="G51" s="127"/>
      <c r="H51" s="127"/>
      <c r="I51" s="127"/>
      <c r="J51" s="127"/>
      <c r="K51" s="128"/>
      <c r="L51" s="193"/>
      <c r="M51" s="148" t="str">
        <f t="shared" ref="M51" si="45">A53</f>
        <v/>
      </c>
      <c r="N51" s="206" t="str">
        <f t="shared" si="0"/>
        <v/>
      </c>
      <c r="O51" s="207"/>
      <c r="P51" s="191"/>
      <c r="Q51" s="212"/>
      <c r="R51" s="150"/>
    </row>
    <row r="52" spans="1:18" ht="15" customHeight="1" x14ac:dyDescent="0.25">
      <c r="A52" s="134"/>
      <c r="B52" s="184"/>
      <c r="C52" s="184"/>
      <c r="D52" s="204"/>
      <c r="E52" s="205"/>
      <c r="F52" s="139"/>
      <c r="G52" s="129"/>
      <c r="H52" s="129"/>
      <c r="I52" s="129"/>
      <c r="J52" s="129"/>
      <c r="K52" s="129"/>
      <c r="L52" s="193"/>
      <c r="M52" s="147"/>
      <c r="N52" s="208" t="str">
        <f t="shared" si="0"/>
        <v/>
      </c>
      <c r="O52" s="209"/>
      <c r="P52" s="191"/>
      <c r="Q52" s="212"/>
      <c r="R52" s="149"/>
    </row>
    <row r="53" spans="1:18" ht="15" customHeight="1" x14ac:dyDescent="0.25">
      <c r="A53" s="1" t="str">
        <f t="shared" ref="A53" si="46">IF(A52="","",UPPER(TEXT(A52,"[$-043E]DDDD")))</f>
        <v/>
      </c>
      <c r="B53" s="185"/>
      <c r="C53" s="185"/>
      <c r="D53" s="202"/>
      <c r="E53" s="203"/>
      <c r="F53" s="141"/>
      <c r="G53" s="127"/>
      <c r="H53" s="127"/>
      <c r="I53" s="127"/>
      <c r="J53" s="127"/>
      <c r="K53" s="128"/>
      <c r="L53" s="194"/>
      <c r="M53" s="148"/>
      <c r="N53" s="206" t="str">
        <f t="shared" si="0"/>
        <v/>
      </c>
      <c r="O53" s="207"/>
      <c r="P53" s="192"/>
      <c r="Q53" s="213"/>
      <c r="R53" s="150"/>
    </row>
    <row r="54" spans="1:18" ht="15.75" thickBot="1" x14ac:dyDescent="0.3">
      <c r="A54" s="39"/>
      <c r="B54" s="40"/>
      <c r="C54" s="40"/>
      <c r="D54" s="41"/>
      <c r="E54" s="40"/>
      <c r="F54" s="2">
        <f>SUM(F20:F53)</f>
        <v>0</v>
      </c>
      <c r="G54" s="2">
        <f t="shared" ref="G54:K54" si="47">SUM(G18:G53)</f>
        <v>0</v>
      </c>
      <c r="H54" s="2">
        <f t="shared" si="47"/>
        <v>0</v>
      </c>
      <c r="I54" s="2">
        <f t="shared" si="47"/>
        <v>0</v>
      </c>
      <c r="J54" s="2">
        <f t="shared" si="47"/>
        <v>0</v>
      </c>
      <c r="K54" s="7">
        <f t="shared" si="47"/>
        <v>0</v>
      </c>
      <c r="L54" s="3"/>
      <c r="M54" s="42"/>
      <c r="N54" s="42"/>
      <c r="O54" s="43"/>
      <c r="P54" s="44"/>
      <c r="R54" s="42"/>
    </row>
    <row r="55" spans="1:18" ht="15.75" thickBot="1" x14ac:dyDescent="0.3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O55" s="47"/>
      <c r="P55" s="44"/>
    </row>
    <row r="56" spans="1:18" ht="15.75" thickTop="1" x14ac:dyDescent="0.2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O56" s="47"/>
      <c r="P56" s="44"/>
    </row>
    <row r="57" spans="1:18" x14ac:dyDescent="0.2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O57" s="47"/>
      <c r="P57" s="44"/>
    </row>
    <row r="58" spans="1:18" x14ac:dyDescent="0.25">
      <c r="A58" s="45"/>
      <c r="B58" s="41" t="s">
        <v>28</v>
      </c>
      <c r="C58" s="41"/>
      <c r="D58" s="40"/>
      <c r="E58" s="40"/>
      <c r="F58" s="130">
        <f>SUM(G55:K55)</f>
        <v>0</v>
      </c>
      <c r="G58" s="214"/>
      <c r="H58" s="214"/>
      <c r="I58" s="49" t="s">
        <v>29</v>
      </c>
      <c r="J58" s="49"/>
      <c r="K58" s="49" t="s">
        <v>30</v>
      </c>
      <c r="L58" s="3"/>
      <c r="O58" s="47"/>
      <c r="P58" s="44"/>
    </row>
    <row r="59" spans="1:18" ht="15.75" thickBot="1" x14ac:dyDescent="0.3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14"/>
      <c r="H59" s="214"/>
      <c r="I59" s="49"/>
      <c r="J59" s="49"/>
      <c r="K59" s="49"/>
      <c r="L59" s="3"/>
      <c r="O59" s="47"/>
      <c r="P59" s="44"/>
    </row>
    <row r="60" spans="1:18" ht="16.5" thickTop="1" thickBot="1" x14ac:dyDescent="0.3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O60" s="47"/>
      <c r="P60" s="44"/>
    </row>
    <row r="61" spans="1:18" ht="15.75" thickTop="1" x14ac:dyDescent="0.2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O61" s="47"/>
      <c r="P61" s="44"/>
    </row>
    <row r="62" spans="1:18" x14ac:dyDescent="0.2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8" x14ac:dyDescent="0.25">
      <c r="A63" s="50"/>
      <c r="B63" s="57"/>
      <c r="C63" s="215" t="s">
        <v>35</v>
      </c>
      <c r="D63" s="215"/>
      <c r="E63" s="215"/>
      <c r="F63" s="215"/>
      <c r="G63" s="215"/>
      <c r="H63" s="215"/>
      <c r="I63" s="215"/>
      <c r="J63" s="215"/>
      <c r="K63" s="215"/>
      <c r="L63" s="3"/>
    </row>
    <row r="64" spans="1:18" x14ac:dyDescent="0.25">
      <c r="A64" s="50"/>
      <c r="B64" s="57"/>
      <c r="C64" s="215"/>
      <c r="D64" s="215"/>
      <c r="E64" s="215"/>
      <c r="F64" s="215"/>
      <c r="G64" s="215"/>
      <c r="H64" s="215"/>
      <c r="I64" s="215"/>
      <c r="J64" s="215"/>
      <c r="K64" s="215"/>
      <c r="L64" s="3"/>
    </row>
    <row r="65" spans="1:18" x14ac:dyDescent="0.2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8" x14ac:dyDescent="0.2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R66" s="62" t="s">
        <v>63</v>
      </c>
    </row>
    <row r="67" spans="1:18" x14ac:dyDescent="0.2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R67" s="63" t="s">
        <v>64</v>
      </c>
    </row>
    <row r="68" spans="1:18" ht="18.75" x14ac:dyDescent="0.3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R68" s="65"/>
    </row>
    <row r="69" spans="1:18" x14ac:dyDescent="0.2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8" x14ac:dyDescent="0.2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8" ht="20.25" x14ac:dyDescent="0.2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M71" s="210" t="s">
        <v>87</v>
      </c>
      <c r="N71" s="210"/>
      <c r="O71" s="210"/>
      <c r="P71" s="210"/>
      <c r="Q71" s="210"/>
      <c r="R71" s="210"/>
    </row>
    <row r="72" spans="1:18" ht="20.25" x14ac:dyDescent="0.2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M72" s="210" t="s">
        <v>88</v>
      </c>
      <c r="N72" s="210"/>
      <c r="O72" s="210"/>
      <c r="P72" s="210"/>
      <c r="Q72" s="210"/>
      <c r="R72" s="210"/>
    </row>
    <row r="73" spans="1:18" ht="16.5" x14ac:dyDescent="0.25">
      <c r="A73" s="50"/>
      <c r="B73" s="66"/>
      <c r="C73" s="66" t="s">
        <v>106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M73" s="217"/>
      <c r="N73" s="217"/>
      <c r="O73" s="217"/>
      <c r="P73" s="217"/>
      <c r="Q73" s="217"/>
      <c r="R73" s="217"/>
    </row>
    <row r="74" spans="1:18" x14ac:dyDescent="0.2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8" x14ac:dyDescent="0.25">
      <c r="A75" s="50"/>
      <c r="B75" s="41"/>
      <c r="C75" s="41" t="s">
        <v>39</v>
      </c>
      <c r="D75" s="50"/>
      <c r="E75" s="68" t="s">
        <v>5</v>
      </c>
      <c r="F75" s="218">
        <f>C8</f>
        <v>0</v>
      </c>
      <c r="G75" s="218"/>
      <c r="H75" s="218"/>
      <c r="I75" s="218"/>
      <c r="J75" s="218"/>
      <c r="K75" s="218"/>
      <c r="L75" s="3"/>
      <c r="M75" s="219" t="s">
        <v>89</v>
      </c>
      <c r="N75" s="219"/>
      <c r="O75" s="219"/>
      <c r="P75" s="219"/>
      <c r="Q75" s="219"/>
      <c r="R75" s="219"/>
    </row>
    <row r="76" spans="1:18" ht="18.75" x14ac:dyDescent="0.3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M76" s="75"/>
      <c r="N76" s="75"/>
      <c r="O76" s="75"/>
      <c r="P76" s="75"/>
      <c r="Q76" s="75"/>
      <c r="R76" s="75"/>
    </row>
    <row r="77" spans="1:18" ht="18.75" x14ac:dyDescent="0.3">
      <c r="A77" s="64"/>
      <c r="B77" s="41"/>
      <c r="C77" s="41" t="s">
        <v>40</v>
      </c>
      <c r="D77" s="50"/>
      <c r="E77" s="68" t="s">
        <v>5</v>
      </c>
      <c r="F77" s="220">
        <f>C10</f>
        <v>0</v>
      </c>
      <c r="G77" s="220"/>
      <c r="H77" s="220"/>
      <c r="I77" s="220"/>
      <c r="J77" s="220"/>
      <c r="K77" s="40"/>
      <c r="L77" s="50"/>
      <c r="M77" s="75"/>
      <c r="N77" s="75"/>
      <c r="O77" s="75"/>
      <c r="P77" s="75"/>
      <c r="Q77" s="75"/>
      <c r="R77" s="75"/>
    </row>
    <row r="78" spans="1:18" ht="18.600000000000001" customHeight="1" x14ac:dyDescent="0.2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M78" s="133"/>
      <c r="N78" s="133"/>
      <c r="O78" s="222" t="str">
        <f>"NAMA PEGAWAI :    " &amp; C8</f>
        <v xml:space="preserve">NAMA PEGAWAI :    </v>
      </c>
      <c r="P78" s="222"/>
      <c r="Q78" s="222"/>
      <c r="R78" s="222"/>
    </row>
    <row r="79" spans="1:18" ht="18.75" x14ac:dyDescent="0.2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M79" s="77"/>
      <c r="N79" s="77"/>
      <c r="O79" s="78"/>
      <c r="P79" s="221" t="str">
        <f>"                      "&amp;C11</f>
        <v xml:space="preserve">                      </v>
      </c>
      <c r="Q79" s="221"/>
      <c r="R79" s="79"/>
    </row>
    <row r="80" spans="1:18" ht="18.75" x14ac:dyDescent="0.2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M80" s="77"/>
      <c r="N80" s="77"/>
      <c r="O80" s="78"/>
      <c r="P80" s="78"/>
      <c r="Q80" s="78"/>
      <c r="R80" s="80"/>
    </row>
    <row r="81" spans="1:18" ht="15" customHeight="1" x14ac:dyDescent="0.2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M81" s="78"/>
      <c r="N81" s="78"/>
      <c r="O81" s="223" t="str">
        <f>"NO. PEGAWAI :        " &amp; C10</f>
        <v xml:space="preserve">NO. PEGAWAI :        </v>
      </c>
      <c r="P81" s="223"/>
      <c r="Q81" s="223"/>
      <c r="R81" s="223"/>
    </row>
    <row r="82" spans="1:18" ht="18.75" x14ac:dyDescent="0.3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M82" s="75"/>
      <c r="N82" s="75"/>
      <c r="O82" s="75"/>
      <c r="P82" s="75"/>
      <c r="Q82" s="75"/>
      <c r="R82" s="75"/>
    </row>
    <row r="83" spans="1:18" ht="18.75" x14ac:dyDescent="0.3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M83" s="224"/>
      <c r="N83" s="224"/>
      <c r="O83" s="224"/>
      <c r="P83" s="224"/>
      <c r="Q83" s="224"/>
      <c r="R83" s="224"/>
    </row>
    <row r="84" spans="1:18" ht="18.75" customHeight="1" x14ac:dyDescent="0.25">
      <c r="A84" s="50"/>
      <c r="B84" s="67"/>
      <c r="C84" s="66" t="s">
        <v>106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M84" s="216" t="s">
        <v>90</v>
      </c>
      <c r="N84" s="216"/>
      <c r="O84" s="216"/>
      <c r="P84" s="216"/>
      <c r="Q84" s="216"/>
      <c r="R84" s="216"/>
    </row>
    <row r="85" spans="1:18" ht="18.75" customHeight="1" x14ac:dyDescent="0.2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M85" s="216" t="s">
        <v>91</v>
      </c>
      <c r="N85" s="216"/>
      <c r="O85" s="216"/>
      <c r="P85" s="216"/>
      <c r="Q85" s="216"/>
      <c r="R85" s="216"/>
    </row>
    <row r="86" spans="1:18" ht="18.75" x14ac:dyDescent="0.3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M86" s="225"/>
      <c r="N86" s="225"/>
      <c r="O86" s="225"/>
      <c r="P86" s="225"/>
      <c r="Q86" s="225"/>
      <c r="R86" s="225"/>
    </row>
    <row r="87" spans="1:18" ht="18.75" customHeight="1" x14ac:dyDescent="0.2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M87" s="216"/>
      <c r="N87" s="216"/>
      <c r="O87" s="216"/>
      <c r="P87" s="216"/>
      <c r="Q87" s="216"/>
      <c r="R87" s="216"/>
    </row>
    <row r="88" spans="1:18" ht="18.75" customHeight="1" x14ac:dyDescent="0.25">
      <c r="A88" s="50"/>
      <c r="B88" s="67"/>
      <c r="C88" s="41" t="s">
        <v>40</v>
      </c>
      <c r="D88" s="50"/>
      <c r="E88" s="68" t="s">
        <v>5</v>
      </c>
      <c r="F88" s="240"/>
      <c r="G88" s="240"/>
      <c r="H88" s="240"/>
      <c r="I88" s="240"/>
      <c r="J88" s="240"/>
      <c r="K88" s="50"/>
      <c r="L88" s="50"/>
      <c r="M88" s="216" t="s">
        <v>92</v>
      </c>
      <c r="N88" s="216"/>
      <c r="O88" s="216"/>
      <c r="P88" s="216"/>
      <c r="Q88" s="216"/>
      <c r="R88" s="216"/>
    </row>
    <row r="89" spans="1:18" ht="18.75" customHeight="1" x14ac:dyDescent="0.2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M89" s="83" t="s">
        <v>93</v>
      </c>
      <c r="N89" s="83"/>
      <c r="O89" s="83"/>
      <c r="P89" s="83"/>
      <c r="Q89" s="83"/>
      <c r="R89" s="83"/>
    </row>
    <row r="90" spans="1:18" ht="18.75" customHeight="1" x14ac:dyDescent="0.2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M90" s="83"/>
      <c r="N90" s="83"/>
      <c r="O90" s="83"/>
      <c r="P90" s="83"/>
      <c r="Q90" s="83"/>
      <c r="R90" s="83"/>
    </row>
    <row r="91" spans="1:18" ht="18.75" customHeight="1" x14ac:dyDescent="0.2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M91" s="83" t="s">
        <v>94</v>
      </c>
      <c r="N91" s="83"/>
      <c r="O91" s="83"/>
      <c r="P91" s="83"/>
      <c r="Q91" s="83"/>
      <c r="R91" s="83"/>
    </row>
    <row r="92" spans="1:18" ht="18.75" customHeight="1" x14ac:dyDescent="0.2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M92" s="83"/>
      <c r="N92" s="83"/>
      <c r="O92" s="83"/>
      <c r="P92" s="83"/>
      <c r="Q92" s="83"/>
      <c r="R92" s="83"/>
    </row>
    <row r="93" spans="1:18" ht="18.75" customHeight="1" x14ac:dyDescent="0.2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M93" s="83" t="s">
        <v>95</v>
      </c>
      <c r="N93" s="83"/>
      <c r="O93" s="83"/>
      <c r="P93" s="83"/>
      <c r="Q93" s="83"/>
      <c r="R93" s="83"/>
    </row>
    <row r="94" spans="1:18" x14ac:dyDescent="0.2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M94" s="83" t="s">
        <v>104</v>
      </c>
      <c r="N94" s="83"/>
      <c r="O94" s="83"/>
      <c r="P94" s="83"/>
      <c r="Q94" s="83"/>
      <c r="R94" s="83"/>
    </row>
    <row r="95" spans="1:18" ht="18.75" x14ac:dyDescent="0.3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M95" s="225"/>
      <c r="N95" s="225"/>
      <c r="O95" s="225"/>
      <c r="P95" s="225"/>
      <c r="Q95" s="225"/>
      <c r="R95" s="225"/>
    </row>
    <row r="96" spans="1:18" ht="18.75" x14ac:dyDescent="0.3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M96" s="225"/>
      <c r="N96" s="225"/>
      <c r="O96" s="225"/>
      <c r="P96" s="225"/>
      <c r="Q96" s="225"/>
      <c r="R96" s="225"/>
    </row>
    <row r="97" spans="1:18" ht="18.75" x14ac:dyDescent="0.3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M97" s="225"/>
      <c r="N97" s="225"/>
      <c r="O97" s="225"/>
      <c r="P97" s="225"/>
      <c r="Q97" s="225"/>
      <c r="R97" s="225"/>
    </row>
    <row r="98" spans="1:18" ht="18.75" x14ac:dyDescent="0.3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M98" s="225"/>
      <c r="N98" s="225"/>
      <c r="O98" s="225"/>
      <c r="P98" s="225"/>
      <c r="Q98" s="225"/>
      <c r="R98" s="225"/>
    </row>
    <row r="99" spans="1:18" x14ac:dyDescent="0.2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M99" s="216"/>
      <c r="N99" s="216"/>
      <c r="O99" s="216"/>
      <c r="P99" s="216"/>
      <c r="Q99" s="216"/>
      <c r="R99" s="216"/>
    </row>
    <row r="100" spans="1:18" x14ac:dyDescent="0.2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M100" s="83"/>
      <c r="N100" s="83"/>
      <c r="O100" s="83"/>
      <c r="P100" s="83"/>
      <c r="Q100" s="83"/>
      <c r="R100" s="83"/>
    </row>
    <row r="101" spans="1:18" ht="18.75" x14ac:dyDescent="0.2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O101" s="79"/>
    </row>
    <row r="102" spans="1:18" x14ac:dyDescent="0.2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8" x14ac:dyDescent="0.2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O103" s="77" t="s">
        <v>103</v>
      </c>
    </row>
    <row r="104" spans="1:18" x14ac:dyDescent="0.2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P104" s="94"/>
      <c r="Q104" s="94"/>
      <c r="R104" s="94"/>
    </row>
    <row r="105" spans="1:18" x14ac:dyDescent="0.2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8" x14ac:dyDescent="0.2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8" x14ac:dyDescent="0.2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O107" s="94" t="s">
        <v>102</v>
      </c>
      <c r="P107" s="94"/>
      <c r="Q107" s="94"/>
      <c r="R107" s="94"/>
    </row>
    <row r="108" spans="1:18" x14ac:dyDescent="0.25">
      <c r="A108" s="64" t="s">
        <v>56</v>
      </c>
      <c r="B108" s="95"/>
      <c r="C108" s="40" t="s">
        <v>105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P108" s="94"/>
      <c r="Q108" s="94"/>
      <c r="R108" s="94"/>
    </row>
    <row r="109" spans="1:18" x14ac:dyDescent="0.2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O109" s="83" t="s">
        <v>96</v>
      </c>
      <c r="P109" s="94"/>
      <c r="Q109" s="94"/>
      <c r="R109" s="94"/>
    </row>
    <row r="110" spans="1:18" x14ac:dyDescent="0.2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O110" s="99" t="s">
        <v>97</v>
      </c>
    </row>
    <row r="111" spans="1:18" x14ac:dyDescent="0.2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O111" s="99" t="s">
        <v>98</v>
      </c>
      <c r="P111" s="94"/>
      <c r="Q111" s="94"/>
      <c r="R111" s="94"/>
    </row>
    <row r="112" spans="1:18" x14ac:dyDescent="0.2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O112" s="99" t="s">
        <v>99</v>
      </c>
      <c r="Q112" s="100"/>
      <c r="R112" s="100"/>
    </row>
    <row r="113" spans="1:18" x14ac:dyDescent="0.2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O113" s="83"/>
      <c r="P113" s="94"/>
      <c r="Q113" s="94"/>
      <c r="R113" s="94"/>
    </row>
    <row r="114" spans="1:18" x14ac:dyDescent="0.2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O114" s="99" t="s">
        <v>100</v>
      </c>
      <c r="P114" s="8" t="s">
        <v>5</v>
      </c>
    </row>
    <row r="115" spans="1:18" x14ac:dyDescent="0.25">
      <c r="O115" s="83"/>
    </row>
    <row r="116" spans="1:18" x14ac:dyDescent="0.25">
      <c r="O116" s="99" t="s">
        <v>101</v>
      </c>
      <c r="P116" s="8" t="s">
        <v>5</v>
      </c>
    </row>
    <row r="119" spans="1:18" ht="60" customHeight="1" x14ac:dyDescent="0.25"/>
    <row r="124" spans="1:18" ht="18.75" x14ac:dyDescent="0.25">
      <c r="A124" s="241" t="s">
        <v>65</v>
      </c>
      <c r="B124" s="242"/>
      <c r="C124" s="242"/>
      <c r="D124" s="242"/>
      <c r="E124" s="242"/>
      <c r="F124" s="242"/>
      <c r="G124" s="242"/>
      <c r="H124" s="242"/>
      <c r="I124" s="242"/>
      <c r="J124" s="242"/>
      <c r="K124" s="242"/>
      <c r="L124" s="243"/>
    </row>
    <row r="125" spans="1:18" ht="27" customHeight="1" x14ac:dyDescent="0.25">
      <c r="A125" s="244" t="s">
        <v>66</v>
      </c>
      <c r="B125" s="245"/>
      <c r="C125" s="245"/>
      <c r="D125" s="245"/>
      <c r="E125" s="245"/>
      <c r="F125" s="245"/>
      <c r="G125" s="245"/>
      <c r="H125" s="245"/>
      <c r="I125" s="245"/>
      <c r="J125" s="245"/>
      <c r="K125" s="245"/>
      <c r="L125" s="246"/>
    </row>
    <row r="126" spans="1:18" ht="27" customHeight="1" x14ac:dyDescent="0.25">
      <c r="A126" s="105" t="s">
        <v>67</v>
      </c>
      <c r="B126" s="106"/>
      <c r="C126" s="106"/>
      <c r="D126" s="247">
        <f>C8</f>
        <v>0</v>
      </c>
      <c r="E126" s="248"/>
      <c r="F126" s="248"/>
      <c r="G126" s="248"/>
      <c r="H126" s="248"/>
      <c r="I126" s="249"/>
      <c r="J126" s="250" t="s">
        <v>68</v>
      </c>
      <c r="K126" s="251"/>
      <c r="L126" s="252"/>
    </row>
    <row r="127" spans="1:18" ht="27" customHeight="1" x14ac:dyDescent="0.3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8" ht="38.25" customHeight="1" x14ac:dyDescent="0.2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25">
      <c r="A129" s="120" t="s">
        <v>70</v>
      </c>
      <c r="B129" s="230" t="s">
        <v>71</v>
      </c>
      <c r="C129" s="231"/>
      <c r="D129" s="232" t="s">
        <v>72</v>
      </c>
      <c r="E129" s="233"/>
      <c r="F129" s="233"/>
      <c r="G129" s="233"/>
      <c r="H129" s="233"/>
      <c r="I129" s="233"/>
      <c r="J129" s="234"/>
      <c r="K129" s="232" t="s">
        <v>73</v>
      </c>
      <c r="L129" s="233"/>
    </row>
    <row r="130" spans="1:12" ht="42" customHeight="1" x14ac:dyDescent="0.25">
      <c r="A130" s="121"/>
      <c r="B130" s="122" t="s">
        <v>74</v>
      </c>
      <c r="C130" s="123" t="s">
        <v>75</v>
      </c>
      <c r="D130" s="235"/>
      <c r="E130" s="236"/>
      <c r="F130" s="236"/>
      <c r="G130" s="236"/>
      <c r="H130" s="236"/>
      <c r="I130" s="236"/>
      <c r="J130" s="237"/>
      <c r="K130" s="238"/>
      <c r="L130" s="239"/>
    </row>
    <row r="131" spans="1:12" ht="42" customHeight="1" x14ac:dyDescent="0.25">
      <c r="A131" s="124">
        <v>1</v>
      </c>
      <c r="B131" s="124"/>
      <c r="C131" s="125"/>
      <c r="D131" s="227" t="s">
        <v>76</v>
      </c>
      <c r="E131" s="228"/>
      <c r="F131" s="228"/>
      <c r="G131" s="228"/>
      <c r="H131" s="228"/>
      <c r="I131" s="228"/>
      <c r="J131" s="229"/>
      <c r="K131" s="226"/>
      <c r="L131" s="226"/>
    </row>
    <row r="132" spans="1:12" ht="42" customHeight="1" x14ac:dyDescent="0.25">
      <c r="A132" s="124">
        <v>2</v>
      </c>
      <c r="B132" s="124"/>
      <c r="C132" s="126"/>
      <c r="D132" s="227" t="s">
        <v>77</v>
      </c>
      <c r="E132" s="228"/>
      <c r="F132" s="228"/>
      <c r="G132" s="228"/>
      <c r="H132" s="228"/>
      <c r="I132" s="228"/>
      <c r="J132" s="229"/>
      <c r="K132" s="226"/>
      <c r="L132" s="226"/>
    </row>
    <row r="133" spans="1:12" ht="42" customHeight="1" x14ac:dyDescent="0.25">
      <c r="A133" s="124">
        <v>3</v>
      </c>
      <c r="B133" s="124"/>
      <c r="C133" s="126"/>
      <c r="D133" s="227" t="s">
        <v>78</v>
      </c>
      <c r="E133" s="228"/>
      <c r="F133" s="228"/>
      <c r="G133" s="228"/>
      <c r="H133" s="228"/>
      <c r="I133" s="228"/>
      <c r="J133" s="229"/>
      <c r="K133" s="226"/>
      <c r="L133" s="226"/>
    </row>
    <row r="134" spans="1:12" ht="42" customHeight="1" x14ac:dyDescent="0.25">
      <c r="A134" s="124">
        <v>4</v>
      </c>
      <c r="B134" s="124"/>
      <c r="C134" s="126"/>
      <c r="D134" s="227" t="s">
        <v>79</v>
      </c>
      <c r="E134" s="228"/>
      <c r="F134" s="228"/>
      <c r="G134" s="228"/>
      <c r="H134" s="228"/>
      <c r="I134" s="228"/>
      <c r="J134" s="229"/>
      <c r="K134" s="226"/>
      <c r="L134" s="226"/>
    </row>
    <row r="135" spans="1:12" ht="42" customHeight="1" x14ac:dyDescent="0.25">
      <c r="A135" s="124">
        <v>5</v>
      </c>
      <c r="B135" s="124"/>
      <c r="C135" s="126"/>
      <c r="D135" s="227" t="s">
        <v>80</v>
      </c>
      <c r="E135" s="228"/>
      <c r="F135" s="228"/>
      <c r="G135" s="228"/>
      <c r="H135" s="228"/>
      <c r="I135" s="228"/>
      <c r="J135" s="229"/>
      <c r="K135" s="226"/>
      <c r="L135" s="226"/>
    </row>
    <row r="136" spans="1:12" ht="42" customHeight="1" x14ac:dyDescent="0.25">
      <c r="A136" s="124">
        <v>6</v>
      </c>
      <c r="B136" s="124"/>
      <c r="C136" s="126"/>
      <c r="D136" s="227" t="s">
        <v>81</v>
      </c>
      <c r="E136" s="228"/>
      <c r="F136" s="228"/>
      <c r="G136" s="228"/>
      <c r="H136" s="228"/>
      <c r="I136" s="228"/>
      <c r="J136" s="229"/>
      <c r="K136" s="226"/>
      <c r="L136" s="226"/>
    </row>
    <row r="137" spans="1:12" ht="42" customHeight="1" x14ac:dyDescent="0.25">
      <c r="A137" s="124">
        <v>7</v>
      </c>
      <c r="B137" s="124"/>
      <c r="C137" s="126"/>
      <c r="D137" s="227" t="s">
        <v>82</v>
      </c>
      <c r="E137" s="228"/>
      <c r="F137" s="228"/>
      <c r="G137" s="228"/>
      <c r="H137" s="228"/>
      <c r="I137" s="228"/>
      <c r="J137" s="229"/>
      <c r="K137" s="226"/>
      <c r="L137" s="226"/>
    </row>
    <row r="138" spans="1:12" ht="42" customHeight="1" x14ac:dyDescent="0.25">
      <c r="A138" s="124">
        <v>8</v>
      </c>
      <c r="B138" s="124"/>
      <c r="C138" s="126"/>
      <c r="D138" s="253" t="s">
        <v>109</v>
      </c>
      <c r="E138" s="254"/>
      <c r="F138" s="254"/>
      <c r="G138" s="254"/>
      <c r="H138" s="254"/>
      <c r="I138" s="254"/>
      <c r="J138" s="255"/>
      <c r="K138" s="259"/>
      <c r="L138" s="260"/>
    </row>
    <row r="139" spans="1:12" ht="42" customHeight="1" x14ac:dyDescent="0.25">
      <c r="A139" s="124">
        <v>9</v>
      </c>
      <c r="B139" s="124"/>
      <c r="C139" s="126"/>
      <c r="D139" s="253" t="s">
        <v>83</v>
      </c>
      <c r="E139" s="254"/>
      <c r="F139" s="254"/>
      <c r="G139" s="254"/>
      <c r="H139" s="254"/>
      <c r="I139" s="254"/>
      <c r="J139" s="255"/>
      <c r="K139" s="226"/>
      <c r="L139" s="226"/>
    </row>
    <row r="140" spans="1:12" ht="85.5" customHeight="1" x14ac:dyDescent="0.25">
      <c r="A140" s="124">
        <v>10</v>
      </c>
      <c r="B140" s="124"/>
      <c r="C140" s="126"/>
      <c r="D140" s="253" t="s">
        <v>84</v>
      </c>
      <c r="E140" s="254"/>
      <c r="F140" s="254"/>
      <c r="G140" s="254"/>
      <c r="H140" s="254"/>
      <c r="I140" s="254"/>
      <c r="J140" s="255"/>
      <c r="K140" s="226"/>
      <c r="L140" s="226"/>
    </row>
    <row r="141" spans="1:12" ht="85.5" customHeight="1" x14ac:dyDescent="0.25">
      <c r="A141" s="124">
        <v>11</v>
      </c>
      <c r="B141" s="124"/>
      <c r="C141" s="126"/>
      <c r="D141" s="256" t="s">
        <v>85</v>
      </c>
      <c r="E141" s="257"/>
      <c r="F141" s="257"/>
      <c r="G141" s="257"/>
      <c r="H141" s="257"/>
      <c r="I141" s="257"/>
      <c r="J141" s="258"/>
      <c r="K141" s="226"/>
      <c r="L141" s="226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168">
    <mergeCell ref="N35:O35"/>
    <mergeCell ref="N36:O36"/>
    <mergeCell ref="N37:O37"/>
    <mergeCell ref="N38:O38"/>
    <mergeCell ref="N39:O39"/>
    <mergeCell ref="N50:O50"/>
    <mergeCell ref="N51:O51"/>
    <mergeCell ref="N52:O52"/>
    <mergeCell ref="N53:O53"/>
    <mergeCell ref="N45:O45"/>
    <mergeCell ref="N46:O46"/>
    <mergeCell ref="N47:O47"/>
    <mergeCell ref="N48:O48"/>
    <mergeCell ref="N49:O49"/>
    <mergeCell ref="D50:E50"/>
    <mergeCell ref="D51:E51"/>
    <mergeCell ref="D52:E52"/>
    <mergeCell ref="D53:E53"/>
    <mergeCell ref="N40:O40"/>
    <mergeCell ref="N41:O41"/>
    <mergeCell ref="N42:O42"/>
    <mergeCell ref="N43:O43"/>
    <mergeCell ref="N44:O44"/>
    <mergeCell ref="D49:E49"/>
    <mergeCell ref="D40:E40"/>
    <mergeCell ref="D41:E41"/>
    <mergeCell ref="D42:E42"/>
    <mergeCell ref="D43:E43"/>
    <mergeCell ref="D44:E44"/>
    <mergeCell ref="D30:E30"/>
    <mergeCell ref="D31:E31"/>
    <mergeCell ref="D32:E32"/>
    <mergeCell ref="D33:E33"/>
    <mergeCell ref="D34:E34"/>
    <mergeCell ref="N18:O18"/>
    <mergeCell ref="N19:O19"/>
    <mergeCell ref="N20:O20"/>
    <mergeCell ref="N21:O21"/>
    <mergeCell ref="N22:O22"/>
    <mergeCell ref="N23:O23"/>
    <mergeCell ref="N24:O24"/>
    <mergeCell ref="N25:O25"/>
    <mergeCell ref="N26:O26"/>
    <mergeCell ref="N30:O30"/>
    <mergeCell ref="N31:O31"/>
    <mergeCell ref="N32:O32"/>
    <mergeCell ref="N33:O33"/>
    <mergeCell ref="N34:O34"/>
    <mergeCell ref="D35:E35"/>
    <mergeCell ref="D36:E36"/>
    <mergeCell ref="D37:E37"/>
    <mergeCell ref="D38:E38"/>
    <mergeCell ref="D39:E39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B129:C129"/>
    <mergeCell ref="D129:J130"/>
    <mergeCell ref="K129:L130"/>
    <mergeCell ref="F88:J88"/>
    <mergeCell ref="M88:R88"/>
    <mergeCell ref="M95:R95"/>
    <mergeCell ref="M96:R96"/>
    <mergeCell ref="M97:R97"/>
    <mergeCell ref="M98:R98"/>
    <mergeCell ref="M99:R99"/>
    <mergeCell ref="A124:L124"/>
    <mergeCell ref="A125:L125"/>
    <mergeCell ref="D126:I126"/>
    <mergeCell ref="J126:L126"/>
    <mergeCell ref="M87:R87"/>
    <mergeCell ref="M73:R73"/>
    <mergeCell ref="F75:K75"/>
    <mergeCell ref="M75:R75"/>
    <mergeCell ref="F77:J77"/>
    <mergeCell ref="P79:Q79"/>
    <mergeCell ref="O78:R78"/>
    <mergeCell ref="O81:R81"/>
    <mergeCell ref="M83:R83"/>
    <mergeCell ref="M84:R84"/>
    <mergeCell ref="M85:R85"/>
    <mergeCell ref="M86:R86"/>
    <mergeCell ref="M72:R72"/>
    <mergeCell ref="B40:C41"/>
    <mergeCell ref="B42:C43"/>
    <mergeCell ref="B44:C45"/>
    <mergeCell ref="B46:C47"/>
    <mergeCell ref="B48:C49"/>
    <mergeCell ref="B50:C51"/>
    <mergeCell ref="Q18:Q53"/>
    <mergeCell ref="B52:C53"/>
    <mergeCell ref="G58:H58"/>
    <mergeCell ref="G59:H59"/>
    <mergeCell ref="C63:K64"/>
    <mergeCell ref="M71:R71"/>
    <mergeCell ref="B28:C29"/>
    <mergeCell ref="B30:C31"/>
    <mergeCell ref="B32:C33"/>
    <mergeCell ref="B34:C35"/>
    <mergeCell ref="B36:C37"/>
    <mergeCell ref="D25:E25"/>
    <mergeCell ref="D26:E26"/>
    <mergeCell ref="D27:E27"/>
    <mergeCell ref="D28:E28"/>
    <mergeCell ref="D29:E29"/>
    <mergeCell ref="D20:E20"/>
    <mergeCell ref="B38:C39"/>
    <mergeCell ref="J18:J19"/>
    <mergeCell ref="K18:K19"/>
    <mergeCell ref="L18:L19"/>
    <mergeCell ref="P18:P53"/>
    <mergeCell ref="B20:C21"/>
    <mergeCell ref="L20:L53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N27:O27"/>
    <mergeCell ref="N28:O28"/>
    <mergeCell ref="N29:O29"/>
    <mergeCell ref="D45:E45"/>
    <mergeCell ref="D46:E46"/>
    <mergeCell ref="D47:E47"/>
    <mergeCell ref="D48:E48"/>
    <mergeCell ref="M2:R2"/>
    <mergeCell ref="H18:H19"/>
    <mergeCell ref="I18:I19"/>
    <mergeCell ref="L15:L17"/>
    <mergeCell ref="M15:M17"/>
    <mergeCell ref="N15:O16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R15:R17"/>
    <mergeCell ref="P15:P17"/>
    <mergeCell ref="Q15:Q17"/>
  </mergeCells>
  <phoneticPr fontId="40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2026-03-29T02:17:52Z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