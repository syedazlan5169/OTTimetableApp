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source\repos\OTTimetableApp\OTTimetableApp\Template\"/>
    </mc:Choice>
  </mc:AlternateContent>
  <xr:revisionPtr revIDLastSave="0" documentId="13_ncr:1_{CBE93C46-1321-4174-9BAA-D7D7EF81F9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im" sheetId="92" r:id="rId1"/>
  </sheets>
  <definedNames>
    <definedName name="_xlnm.Print_Area" localSheetId="0">Claim!$A$1:$R$143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" i="92" l="1"/>
  <c r="N23" i="92"/>
  <c r="N24" i="92"/>
  <c r="N25" i="92"/>
  <c r="N26" i="92"/>
  <c r="N27" i="92"/>
  <c r="N28" i="92"/>
  <c r="N29" i="92"/>
  <c r="N30" i="92"/>
  <c r="N31" i="92"/>
  <c r="N32" i="92"/>
  <c r="N33" i="92"/>
  <c r="N34" i="92"/>
  <c r="N35" i="92"/>
  <c r="N36" i="92"/>
  <c r="N37" i="92"/>
  <c r="N38" i="92"/>
  <c r="N39" i="92"/>
  <c r="N40" i="92"/>
  <c r="N41" i="92"/>
  <c r="N42" i="92"/>
  <c r="N43" i="92"/>
  <c r="N44" i="92"/>
  <c r="N45" i="92"/>
  <c r="N46" i="92"/>
  <c r="N47" i="92"/>
  <c r="N48" i="92"/>
  <c r="N49" i="92"/>
  <c r="N50" i="92"/>
  <c r="N51" i="92"/>
  <c r="N52" i="92"/>
  <c r="N53" i="92"/>
  <c r="M22" i="92"/>
  <c r="M23" i="92"/>
  <c r="M24" i="92"/>
  <c r="M25" i="92"/>
  <c r="M26" i="92"/>
  <c r="M27" i="92"/>
  <c r="M28" i="92"/>
  <c r="M29" i="92"/>
  <c r="M30" i="92"/>
  <c r="M31" i="92"/>
  <c r="M32" i="92"/>
  <c r="M33" i="92"/>
  <c r="M34" i="92"/>
  <c r="M35" i="92"/>
  <c r="M36" i="92"/>
  <c r="M37" i="92"/>
  <c r="M38" i="92"/>
  <c r="M39" i="92"/>
  <c r="M40" i="92"/>
  <c r="M41" i="92"/>
  <c r="M42" i="92"/>
  <c r="M43" i="92"/>
  <c r="M44" i="92"/>
  <c r="M45" i="92"/>
  <c r="M46" i="92"/>
  <c r="M47" i="92"/>
  <c r="M48" i="92"/>
  <c r="M49" i="92"/>
  <c r="M50" i="92"/>
  <c r="M51" i="92"/>
  <c r="M52" i="92"/>
  <c r="M53" i="92"/>
  <c r="N21" i="92"/>
  <c r="N20" i="92"/>
  <c r="M21" i="92"/>
  <c r="M20" i="92"/>
  <c r="H18" i="92"/>
  <c r="A25" i="92"/>
  <c r="P79" i="92"/>
  <c r="O78" i="92"/>
  <c r="O81" i="92"/>
  <c r="D126" i="92"/>
  <c r="F77" i="92"/>
  <c r="F75" i="92"/>
  <c r="A53" i="92"/>
  <c r="A51" i="92"/>
  <c r="A49" i="92"/>
  <c r="A47" i="92"/>
  <c r="A45" i="92"/>
  <c r="A43" i="92"/>
  <c r="A41" i="92"/>
  <c r="A39" i="92"/>
  <c r="A37" i="92"/>
  <c r="A35" i="92"/>
  <c r="A33" i="92"/>
  <c r="A31" i="92"/>
  <c r="A29" i="92"/>
  <c r="A27" i="92"/>
  <c r="A23" i="92"/>
  <c r="A21" i="92"/>
  <c r="P12" i="92"/>
  <c r="P11" i="92"/>
  <c r="P10" i="92"/>
  <c r="P9" i="92"/>
  <c r="F59" i="92"/>
  <c r="F54" i="92" l="1"/>
  <c r="G54" i="92" l="1"/>
  <c r="G55" i="92" s="1"/>
  <c r="I54" i="92" l="1"/>
  <c r="I55" i="92" s="1"/>
  <c r="K54" i="92"/>
  <c r="K55" i="92" s="1"/>
  <c r="H54" i="92" l="1"/>
  <c r="H55" i="92" s="1"/>
  <c r="J54" i="92"/>
  <c r="J55" i="92" s="1"/>
  <c r="F58" i="92" l="1"/>
  <c r="F60" i="92" s="1"/>
</calcChain>
</file>

<file path=xl/sharedStrings.xml><?xml version="1.0" encoding="utf-8"?>
<sst xmlns="http://schemas.openxmlformats.org/spreadsheetml/2006/main" count="148" uniqueCount="112">
  <si>
    <t>JABATAN KASTAM DIRAJA MALAYSIA</t>
  </si>
  <si>
    <t>STESEN  :  PELABUHAN KLANG</t>
  </si>
  <si>
    <t>Tuntutan Elaun Lebihmasa Untuk</t>
  </si>
  <si>
    <t>(PERINTAH AM BAB G 1974 P.P.2/77)</t>
  </si>
  <si>
    <t xml:space="preserve">NAMA              </t>
  </si>
  <si>
    <t>:</t>
  </si>
  <si>
    <t xml:space="preserve">GAJI                                        </t>
  </si>
  <si>
    <t xml:space="preserve">KADAR SATU JAM                   </t>
  </si>
  <si>
    <t xml:space="preserve">JAW/NO PiK  </t>
  </si>
  <si>
    <t xml:space="preserve">KELEPASAN MINGGUAN      </t>
  </si>
  <si>
    <t>GILIRAN</t>
  </si>
  <si>
    <t xml:space="preserve">BAH/CAW      </t>
  </si>
  <si>
    <t xml:space="preserve">NOMBOR GAJI                        </t>
  </si>
  <si>
    <t>NO. TEL</t>
  </si>
  <si>
    <t xml:space="preserve">NO. AKAUN BANK                  </t>
  </si>
  <si>
    <t>Tarikh</t>
  </si>
  <si>
    <t>Waktu Kerja Biasa</t>
  </si>
  <si>
    <t>Waktu Kerja Lembur</t>
  </si>
  <si>
    <t>Jumlah Jam Kerja Lembur</t>
  </si>
  <si>
    <t>Gandaan Bayaran X (4)</t>
  </si>
  <si>
    <t>CATATAN</t>
  </si>
  <si>
    <t>dan</t>
  </si>
  <si>
    <t>Hari</t>
  </si>
  <si>
    <t>Dari</t>
  </si>
  <si>
    <t>Hingga</t>
  </si>
  <si>
    <t>1.125</t>
  </si>
  <si>
    <t>1.5</t>
  </si>
  <si>
    <t>1.75</t>
  </si>
  <si>
    <t>Jumlah Tuntutan (Jam)</t>
  </si>
  <si>
    <t xml:space="preserve">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</si>
  <si>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</si>
  <si>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 xml:space="preserve">Kadar Satu Jam         </t>
  </si>
  <si>
    <t>RM</t>
  </si>
  <si>
    <t xml:space="preserve">Jumlah Tuntutan  </t>
  </si>
  <si>
    <t xml:space="preserve">INGATAN : </t>
  </si>
  <si>
    <t>Tuntutan kerja lebihmasa pada hari Sabtu, Ahad dan Cuti Am serta Kelepasan Mingguan hendaklah dinyatakan tarikh-tarikh di ruang yang disediakan.</t>
  </si>
  <si>
    <t>a.</t>
  </si>
  <si>
    <t>Saya mengaku bahawa kerja diatas telah dilaksanakan oleh saya    :</t>
  </si>
  <si>
    <t xml:space="preserve">Dituntut oleh </t>
  </si>
  <si>
    <t xml:space="preserve">Nama </t>
  </si>
  <si>
    <t>Jawatan</t>
  </si>
  <si>
    <t xml:space="preserve">Tarikh </t>
  </si>
  <si>
    <t xml:space="preserve">Disokong oleh </t>
  </si>
  <si>
    <t xml:space="preserve">Nama   </t>
  </si>
  <si>
    <t>b.</t>
  </si>
  <si>
    <t>Adalah disahkan bahawa pegawai ini telah membuat kerja lebihmasa pada tarikh tersebut di atas.</t>
  </si>
  <si>
    <t>Adalah perlu bagi Pegawai ini bekerja lebihmasa dan disahkan bahawa tuntutan yang tersebut adalah</t>
  </si>
  <si>
    <t xml:space="preserve">betul mengikut Perintah Am Bab G Pekeliling Perkhidmatan Bilangan 2/1977. Saya menyokong  tuntutan </t>
  </si>
  <si>
    <t>ini. Tuntutan kerja lebihmasa ini tidak bertentangan dalam Kenyataan perenggan IV Arahan IVA dan IVB</t>
  </si>
  <si>
    <t xml:space="preserve">Langkah Berjimat Cermat surat PEK.PERB.BIL.(2900)191/41-2PUA (6) bertarikh 1.7.77. Bahawa saya </t>
  </si>
  <si>
    <t>mengaku tuntutan di atas adalah betul mengikut Undang-Undang Kastam.</t>
  </si>
  <si>
    <t>c.</t>
  </si>
  <si>
    <t>Adalah disahkan bahawa pegawai ini telah melakukan kerja-kerja tersebut melebihi 8 jam terus menerus</t>
  </si>
  <si>
    <t>termasuk waktu rehat / makan (mengikut Perintah Am Bab 'G' dan surat Pekeliling Perkhidmatan Bil.1</t>
  </si>
  <si>
    <t>Tahun 1980)</t>
  </si>
  <si>
    <t>Pegawai ini tidak membuat penanggungan kerja.</t>
  </si>
  <si>
    <t>d.</t>
  </si>
  <si>
    <t>Nama</t>
  </si>
  <si>
    <t>LAMPIRAN A</t>
  </si>
  <si>
    <t>TARIKH</t>
  </si>
  <si>
    <t>WAKTU LEMBUR</t>
  </si>
  <si>
    <t>TUGAS/PERKARA</t>
  </si>
  <si>
    <t>Tandatangan Ketua Bahagian/Cawangan/Unit</t>
  </si>
  <si>
    <t>LAMPIRAN 'D'</t>
  </si>
  <si>
    <t>(Perintah Tetap Perjawatan Bil.30)</t>
  </si>
  <si>
    <t>JKDM ZON TENGAH, UNIT II (SELANGOR)</t>
  </si>
  <si>
    <t>SENARAI SEMAK TUNTUTAN ELAUN LEBIH MASA</t>
  </si>
  <si>
    <t xml:space="preserve">Nama Pegawai Yang Menuntut: </t>
  </si>
  <si>
    <t>COP TERIMA SEKSYEN KEWANGAN</t>
  </si>
  <si>
    <t>Tarikh dihantar kepada Seksyen Kewangan:______________________</t>
  </si>
  <si>
    <t>BIL</t>
  </si>
  <si>
    <t>SEMAKAN (√/TB)</t>
  </si>
  <si>
    <t>PERIHAL DAN SUSUNAN DOKUMEN DIPERLUKAN</t>
  </si>
  <si>
    <t>CATATAN /KUIRI</t>
  </si>
  <si>
    <t>Pegawai yang menuntut/ Urusetia</t>
  </si>
  <si>
    <t>Seksyen Kewangan</t>
  </si>
  <si>
    <t>Lampiran E (Borang Tuntutan Elaun Lebih Masa)</t>
  </si>
  <si>
    <t>Salinan Kad Perakam Waktu / Buku Kedatangan</t>
  </si>
  <si>
    <t>Lampiran A (Keterangan lengkap kerja lebih masa)</t>
  </si>
  <si>
    <t>Surat Arahan Kerja Lebih Masa</t>
  </si>
  <si>
    <t>Lampiran D (Jika tuntutan melebihi 1/3 gaji pokok)</t>
  </si>
  <si>
    <t>Salinan slip gaji mengikut bulan tuntutan</t>
  </si>
  <si>
    <t>Salinan Penyata Bank</t>
  </si>
  <si>
    <t>Salinan dokumen-dokumen sokongan lain yang berkaitan</t>
  </si>
  <si>
    <r>
      <t xml:space="preserve">Semua dokumen </t>
    </r>
    <r>
      <rPr>
        <b/>
        <sz val="14"/>
        <color theme="1"/>
        <rFont val="Calibri"/>
        <family val="2"/>
      </rPr>
      <t xml:space="preserve">SALINAN </t>
    </r>
    <r>
      <rPr>
        <sz val="14"/>
        <color theme="1"/>
        <rFont val="Calibri"/>
        <family val="2"/>
      </rPr>
      <t>telah dicop "Salinan Diakui Sah" dan ditandatangani oleh pegawai berkaitan.</t>
    </r>
    <r>
      <rPr>
        <b/>
        <sz val="14"/>
        <color theme="1"/>
        <rFont val="Calibri"/>
        <family val="2"/>
      </rPr>
      <t>JANGAN</t>
    </r>
    <r>
      <rPr>
        <sz val="14"/>
        <color theme="1"/>
        <rFont val="Calibri"/>
        <family val="2"/>
      </rPr>
      <t xml:space="preserve"> bertindih di atas butiran penting untuk semakan tuntutan.</t>
    </r>
  </si>
  <si>
    <t>SEMUA DOKUMEN UNTUK TUNTUTAN ELAUN LEBIH MASA TELAH DIPASTIKAN BETUL,LENGKAP,JELAS DAN TERSUSUN SEBELUM DIHANTAR KEPADA SEKSYEN KEWANGAN</t>
  </si>
  <si>
    <t xml:space="preserve">NO. KP   </t>
  </si>
  <si>
    <t>SIJIL TUNTUTAN LEBIHMASA MENGIKUT SURAT</t>
  </si>
  <si>
    <t>PEKELILING PERKHIDMATAN BIL:21/1977</t>
  </si>
  <si>
    <t>( DIISI JIKA TUNTUTAN ELAUN LEBIH MASA MELEBIHI 1/3 GAJI PEGAWAI   )</t>
  </si>
  <si>
    <t xml:space="preserve">            Disahkan bahawa tuntutan pegawai adalah teratul dan syarat dibawah Surat Pekeliling Perkhidmatan</t>
  </si>
  <si>
    <t xml:space="preserve">            Bil. 21/1977 seperti berikut telah dipatuhi:</t>
  </si>
  <si>
    <t xml:space="preserve">                             1.   Semua pekerja yang terlibat telah menjalan kan kerja lebih masa melangkaui had 1/3</t>
  </si>
  <si>
    <t xml:space="preserve">                                   daripada gaji.</t>
  </si>
  <si>
    <t xml:space="preserve">                             2.   Pekerja yang tidak mahu membuat kerja lebih masa telah membuat pengakuan dan surat</t>
  </si>
  <si>
    <t xml:space="preserve">                             3.   Adalah atas sebab-sebab yang munasabah pegawai diarah membuat kerja lebih masa di</t>
  </si>
  <si>
    <t>(TANDATANGAN PEGAWAI TERTINGGI "G")</t>
  </si>
  <si>
    <t>(PEGAWAI KUMPULAN "A" SEKIRANYA</t>
  </si>
  <si>
    <t>KETIADAAN PEGAWAI TERTINGGI "G"</t>
  </si>
  <si>
    <t>DI STESEN)</t>
  </si>
  <si>
    <t>NAMA</t>
  </si>
  <si>
    <t>JAWATAN</t>
  </si>
  <si>
    <t>……………….……………….………………………………………..</t>
  </si>
  <si>
    <t>Tuntutan diluluskan,</t>
  </si>
  <si>
    <t xml:space="preserve">                                   atas.</t>
  </si>
  <si>
    <t xml:space="preserve">Ketua Jabatan      </t>
  </si>
  <si>
    <t xml:space="preserve">(TANDATANGAN )   </t>
  </si>
  <si>
    <t>RUJUK JADUAL DI LAMPIRAN</t>
  </si>
  <si>
    <t>Jadual bertugas waktu bukan pejabat termasuk jumlah keseluruhan jam bertugas bagi bulan tuntutan</t>
  </si>
  <si>
    <t>BAHAGIAN/CAWANGAN</t>
  </si>
  <si>
    <t>BULAN</t>
  </si>
  <si>
    <t>LEBIHAN JAM BERTUGAS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</si>
</sst>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General_)"/>
    <numFmt numFmtId="166" formatCode="0.00_)"/>
    <numFmt numFmtId="167" formatCode="&quot;RM&quot;#,##0.00_);\(&quot;RM&quot;#,##0.00\)"/>
    <numFmt numFmtId="168" formatCode="0_)"/>
    <numFmt numFmtId="169" formatCode="0.000_)"/>
    <numFmt numFmtId="170" formatCode="_(* #,##0.000_);_(* \(#,##0.000\);_(* &quot;-&quot;??_);_(@_)"/>
    <numFmt numFmtId="171" formatCode="dd/mm/yyyy;@"/>
    <numFmt numFmtId="172" formatCode="dd\.mm\.yyyy;@"/>
    <numFmt numFmtId="173" formatCode="[$-14409]hh:mm;@"/>
    <numFmt numFmtId="174" formatCode="0.00_ ;\-0.00\ "/>
    <numFmt numFmtId="175" formatCode="[$-14409]dd/mm/yyyy;@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11"/>
      <name val="Arial"/>
      <family val="2"/>
    </font>
    <font>
      <sz val="9"/>
      <name val="Helv"/>
    </font>
    <font>
      <b/>
      <sz val="9"/>
      <name val="Helv"/>
    </font>
    <font>
      <b/>
      <sz val="9"/>
      <name val="Arial"/>
      <family val="2"/>
    </font>
    <font>
      <sz val="9"/>
      <name val="Arial"/>
      <family val="2"/>
    </font>
    <font>
      <b/>
      <sz val="14"/>
      <name val="Cambria"/>
      <family val="1"/>
      <scheme val="major"/>
    </font>
    <font>
      <b/>
      <sz val="8"/>
      <name val="Arial"/>
      <family val="2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sz val="10"/>
      <name val="Helv"/>
    </font>
    <font>
      <u/>
      <sz val="9"/>
      <name val="Arial"/>
      <family val="2"/>
    </font>
    <font>
      <sz val="10"/>
      <name val="Helv"/>
    </font>
    <font>
      <b/>
      <sz val="11"/>
      <name val="Helv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name val="Arial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2"/>
      <color theme="1"/>
      <name val="Calibri"/>
      <family val="2"/>
    </font>
    <font>
      <sz val="14"/>
      <name val="Calibri"/>
      <family val="2"/>
    </font>
    <font>
      <sz val="14"/>
      <color theme="1"/>
      <name val="Calibri"/>
      <family val="2"/>
    </font>
    <font>
      <sz val="8"/>
      <color theme="1"/>
      <name val="Calibri"/>
      <family val="2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3"/>
      <name val="Cambria"/>
      <family val="1"/>
      <scheme val="major"/>
    </font>
    <font>
      <sz val="8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D9F0"/>
        <bgColor rgb="FFC6D9F0"/>
      </patternFill>
    </fill>
  </fills>
  <borders count="6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/>
      <bottom style="dashed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8"/>
      </left>
      <right style="medium">
        <color indexed="8"/>
      </right>
      <top style="medium">
        <color rgb="FF000000"/>
      </top>
      <bottom style="medium">
        <color rgb="FF000000"/>
      </bottom>
      <diagonal/>
    </border>
    <border>
      <left style="medium">
        <color indexed="8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8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2" fillId="0" borderId="0"/>
  </cellStyleXfs>
  <cellXfs count="265">
    <xf numFmtId="0" fontId="0" fillId="0" borderId="0" xfId="0"/>
    <xf numFmtId="166" fontId="7" fillId="0" borderId="6" xfId="2" applyNumberFormat="1" applyFont="1" applyBorder="1" applyAlignment="1">
      <alignment horizontal="center" vertical="center"/>
    </xf>
    <xf numFmtId="1" fontId="6" fillId="0" borderId="3" xfId="2" applyNumberFormat="1" applyFont="1" applyBorder="1" applyAlignment="1">
      <alignment horizontal="center" vertical="center"/>
    </xf>
    <xf numFmtId="166" fontId="8" fillId="0" borderId="0" xfId="2" applyNumberFormat="1" applyFont="1" applyAlignment="1" applyProtection="1">
      <alignment vertical="center" textRotation="255" wrapText="1"/>
      <protection locked="0"/>
    </xf>
    <xf numFmtId="169" fontId="6" fillId="0" borderId="0" xfId="2" applyNumberFormat="1" applyFont="1" applyAlignment="1">
      <alignment horizontal="center" vertical="center"/>
    </xf>
    <xf numFmtId="169" fontId="6" fillId="0" borderId="17" xfId="2" applyNumberFormat="1" applyFont="1" applyBorder="1" applyAlignment="1">
      <alignment horizontal="center" vertical="center"/>
    </xf>
    <xf numFmtId="166" fontId="7" fillId="0" borderId="2" xfId="2" applyNumberFormat="1" applyFont="1" applyBorder="1" applyAlignment="1">
      <alignment horizontal="center" vertical="center"/>
    </xf>
    <xf numFmtId="1" fontId="6" fillId="0" borderId="46" xfId="2" applyNumberFormat="1" applyFont="1" applyBorder="1" applyAlignment="1">
      <alignment horizontal="center" vertical="center"/>
    </xf>
    <xf numFmtId="0" fontId="0" fillId="0" borderId="0" xfId="0" applyProtection="1">
      <protection locked="0"/>
    </xf>
    <xf numFmtId="0" fontId="22" fillId="0" borderId="0" xfId="0" applyFont="1" applyProtection="1">
      <protection locked="0"/>
    </xf>
    <xf numFmtId="166" fontId="4" fillId="0" borderId="0" xfId="2" applyNumberFormat="1" applyFont="1" applyProtection="1">
      <protection locked="0"/>
    </xf>
    <xf numFmtId="166" fontId="5" fillId="0" borderId="0" xfId="2" applyNumberFormat="1" applyFont="1" applyProtection="1">
      <protection locked="0"/>
    </xf>
    <xf numFmtId="166" fontId="6" fillId="0" borderId="0" xfId="2" applyNumberFormat="1" applyFont="1" applyAlignment="1" applyProtection="1">
      <alignment horizontal="center" vertical="center"/>
      <protection locked="0"/>
    </xf>
    <xf numFmtId="166" fontId="4" fillId="0" borderId="0" xfId="2" applyNumberFormat="1" applyFont="1" applyAlignment="1" applyProtection="1">
      <alignment horizontal="center"/>
      <protection locked="0"/>
    </xf>
    <xf numFmtId="166" fontId="7" fillId="0" borderId="0" xfId="2" applyNumberFormat="1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right"/>
      <protection locked="0"/>
    </xf>
    <xf numFmtId="166" fontId="22" fillId="0" borderId="0" xfId="0" applyNumberFormat="1" applyFont="1" applyProtection="1">
      <protection locked="0"/>
    </xf>
    <xf numFmtId="166" fontId="7" fillId="0" borderId="0" xfId="2" applyNumberFormat="1" applyFont="1" applyAlignment="1" applyProtection="1">
      <alignment vertical="center"/>
      <protection locked="0"/>
    </xf>
    <xf numFmtId="166" fontId="6" fillId="0" borderId="0" xfId="2" applyNumberFormat="1" applyFont="1" applyAlignment="1" applyProtection="1">
      <alignment vertical="center"/>
      <protection locked="0"/>
    </xf>
    <xf numFmtId="166" fontId="10" fillId="0" borderId="0" xfId="2" applyNumberFormat="1" applyFont="1" applyAlignment="1" applyProtection="1">
      <alignment vertical="center"/>
      <protection locked="0"/>
    </xf>
    <xf numFmtId="166" fontId="11" fillId="0" borderId="0" xfId="2" quotePrefix="1" applyNumberFormat="1" applyFont="1" applyAlignment="1" applyProtection="1">
      <alignment horizontal="center" vertical="center"/>
      <protection locked="0"/>
    </xf>
    <xf numFmtId="166" fontId="11" fillId="0" borderId="0" xfId="2" applyNumberFormat="1" applyFont="1" applyAlignment="1" applyProtection="1">
      <alignment horizontal="center" vertical="center"/>
      <protection locked="0"/>
    </xf>
    <xf numFmtId="166" fontId="10" fillId="0" borderId="0" xfId="2" applyNumberFormat="1" applyFont="1" applyAlignment="1" applyProtection="1">
      <alignment horizontal="center" vertical="center"/>
      <protection locked="0"/>
    </xf>
    <xf numFmtId="166" fontId="10" fillId="0" borderId="0" xfId="2" quotePrefix="1" applyNumberFormat="1" applyFon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/>
      <protection locked="0"/>
    </xf>
    <xf numFmtId="166" fontId="11" fillId="0" borderId="0" xfId="2" applyNumberFormat="1" applyFont="1" applyAlignment="1" applyProtection="1">
      <alignment horizontal="left" vertical="center"/>
      <protection locked="0"/>
    </xf>
    <xf numFmtId="166" fontId="11" fillId="0" borderId="0" xfId="2" applyNumberFormat="1" applyFont="1" applyAlignment="1" applyProtection="1">
      <alignment vertical="center"/>
      <protection locked="0"/>
    </xf>
    <xf numFmtId="166" fontId="7" fillId="0" borderId="0" xfId="2" applyNumberFormat="1" applyFont="1" applyAlignment="1" applyProtection="1">
      <alignment horizontal="left" vertical="center"/>
      <protection locked="0"/>
    </xf>
    <xf numFmtId="166" fontId="6" fillId="0" borderId="26" xfId="2" applyNumberFormat="1" applyFont="1" applyBorder="1" applyAlignment="1" applyProtection="1">
      <alignment horizontal="center" vertical="center"/>
      <protection locked="0"/>
    </xf>
    <xf numFmtId="166" fontId="6" fillId="0" borderId="27" xfId="2" applyNumberFormat="1" applyFont="1" applyBorder="1" applyAlignment="1" applyProtection="1">
      <alignment horizontal="center" vertical="center"/>
      <protection locked="0"/>
    </xf>
    <xf numFmtId="166" fontId="6" fillId="0" borderId="33" xfId="2" applyNumberFormat="1" applyFont="1" applyBorder="1" applyAlignment="1" applyProtection="1">
      <alignment horizontal="center" vertical="center"/>
      <protection locked="0"/>
    </xf>
    <xf numFmtId="166" fontId="6" fillId="0" borderId="41" xfId="2" applyNumberFormat="1" applyFont="1" applyBorder="1" applyAlignment="1" applyProtection="1">
      <alignment horizontal="center" vertical="center"/>
      <protection locked="0"/>
    </xf>
    <xf numFmtId="166" fontId="6" fillId="0" borderId="42" xfId="2" applyNumberFormat="1" applyFont="1" applyBorder="1" applyAlignment="1" applyProtection="1">
      <alignment horizontal="center" vertical="center"/>
      <protection locked="0"/>
    </xf>
    <xf numFmtId="166" fontId="6" fillId="0" borderId="43" xfId="2" applyNumberFormat="1" applyFont="1" applyBorder="1" applyAlignment="1" applyProtection="1">
      <alignment horizontal="center" vertical="center"/>
      <protection locked="0"/>
    </xf>
    <xf numFmtId="166" fontId="6" fillId="0" borderId="38" xfId="2" applyNumberFormat="1" applyFont="1" applyBorder="1" applyAlignment="1" applyProtection="1">
      <alignment horizontal="center" vertical="center"/>
      <protection locked="0"/>
    </xf>
    <xf numFmtId="166" fontId="6" fillId="0" borderId="37" xfId="2" applyNumberFormat="1" applyFont="1" applyBorder="1" applyAlignment="1" applyProtection="1">
      <alignment horizontal="center" vertical="center"/>
      <protection locked="0"/>
    </xf>
    <xf numFmtId="166" fontId="6" fillId="0" borderId="35" xfId="2" applyNumberFormat="1" applyFont="1" applyBorder="1" applyAlignment="1" applyProtection="1">
      <alignment horizontal="center" vertical="center"/>
      <protection locked="0"/>
    </xf>
    <xf numFmtId="0" fontId="6" fillId="0" borderId="36" xfId="2" applyNumberFormat="1" applyFont="1" applyBorder="1" applyAlignment="1" applyProtection="1">
      <alignment horizontal="center" vertical="center"/>
      <protection locked="0"/>
    </xf>
    <xf numFmtId="0" fontId="21" fillId="0" borderId="22" xfId="0" applyFont="1" applyBorder="1" applyAlignment="1" applyProtection="1">
      <alignment horizontal="center" vertical="center" wrapText="1"/>
      <protection locked="0"/>
    </xf>
    <xf numFmtId="165" fontId="12" fillId="0" borderId="25" xfId="2" applyFont="1" applyBorder="1" applyAlignment="1" applyProtection="1">
      <alignment vertical="center"/>
      <protection locked="0"/>
    </xf>
    <xf numFmtId="166" fontId="13" fillId="0" borderId="0" xfId="2" applyNumberFormat="1" applyFont="1" applyAlignment="1" applyProtection="1">
      <alignment vertical="center"/>
      <protection locked="0"/>
    </xf>
    <xf numFmtId="166" fontId="13" fillId="0" borderId="0" xfId="2" applyNumberFormat="1" applyFont="1" applyAlignment="1" applyProtection="1">
      <alignment horizontal="left" vertical="center"/>
      <protection locked="0"/>
    </xf>
    <xf numFmtId="0" fontId="0" fillId="0" borderId="25" xfId="0" applyBorder="1" applyProtection="1">
      <protection locked="0"/>
    </xf>
    <xf numFmtId="0" fontId="0" fillId="0" borderId="25" xfId="0" applyBorder="1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5" fontId="12" fillId="0" borderId="0" xfId="2" applyFont="1" applyAlignment="1" applyProtection="1">
      <alignment vertical="center"/>
      <protection locked="0"/>
    </xf>
    <xf numFmtId="169" fontId="6" fillId="0" borderId="0" xfId="2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169" fontId="13" fillId="0" borderId="0" xfId="2" applyNumberFormat="1" applyFont="1" applyAlignment="1" applyProtection="1">
      <alignment horizontal="center" vertical="center"/>
      <protection locked="0"/>
    </xf>
    <xf numFmtId="169" fontId="12" fillId="0" borderId="0" xfId="2" applyNumberFormat="1" applyFont="1" applyAlignment="1" applyProtection="1">
      <alignment vertical="center"/>
      <protection locked="0"/>
    </xf>
    <xf numFmtId="166" fontId="12" fillId="0" borderId="0" xfId="2" applyNumberFormat="1" applyFont="1" applyAlignment="1" applyProtection="1">
      <alignment vertical="center"/>
      <protection locked="0"/>
    </xf>
    <xf numFmtId="39" fontId="13" fillId="0" borderId="0" xfId="2" applyNumberFormat="1" applyFont="1" applyAlignment="1" applyProtection="1">
      <alignment horizontal="center" vertical="center"/>
      <protection locked="0"/>
    </xf>
    <xf numFmtId="39" fontId="13" fillId="0" borderId="0" xfId="2" applyNumberFormat="1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166" fontId="13" fillId="0" borderId="0" xfId="2" applyNumberFormat="1" applyFont="1" applyAlignment="1" applyProtection="1">
      <alignment horizontal="center" vertical="center"/>
      <protection locked="0"/>
    </xf>
    <xf numFmtId="166" fontId="12" fillId="0" borderId="0" xfId="2" applyNumberFormat="1" applyFont="1" applyAlignment="1" applyProtection="1">
      <alignment horizontal="center" vertical="center"/>
      <protection locked="0"/>
    </xf>
    <xf numFmtId="166" fontId="12" fillId="0" borderId="0" xfId="2" applyNumberFormat="1" applyFont="1" applyProtection="1">
      <protection locked="0"/>
    </xf>
    <xf numFmtId="166" fontId="13" fillId="0" borderId="0" xfId="2" applyNumberFormat="1" applyFont="1" applyAlignment="1" applyProtection="1">
      <alignment vertical="center" wrapText="1"/>
      <protection locked="0"/>
    </xf>
    <xf numFmtId="166" fontId="12" fillId="0" borderId="0" xfId="2" applyNumberFormat="1" applyFont="1" applyAlignment="1" applyProtection="1">
      <alignment vertical="center" wrapText="1"/>
      <protection locked="0"/>
    </xf>
    <xf numFmtId="166" fontId="12" fillId="0" borderId="0" xfId="2" applyNumberFormat="1" applyFont="1" applyAlignment="1" applyProtection="1">
      <alignment horizontal="center" vertical="center" wrapText="1"/>
      <protection locked="0"/>
    </xf>
    <xf numFmtId="166" fontId="12" fillId="0" borderId="0" xfId="2" applyNumberFormat="1" applyFont="1" applyAlignment="1" applyProtection="1">
      <alignment horizontal="left" vertical="center" wrapText="1"/>
      <protection locked="0"/>
    </xf>
    <xf numFmtId="166" fontId="13" fillId="0" borderId="0" xfId="2" applyNumberFormat="1" applyFont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right"/>
      <protection locked="0"/>
    </xf>
    <xf numFmtId="0" fontId="34" fillId="0" borderId="0" xfId="0" applyFont="1" applyAlignment="1" applyProtection="1">
      <alignment horizontal="right"/>
      <protection locked="0"/>
    </xf>
    <xf numFmtId="166" fontId="14" fillId="0" borderId="0" xfId="2" applyNumberFormat="1" applyFont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right"/>
      <protection locked="0"/>
    </xf>
    <xf numFmtId="166" fontId="14" fillId="0" borderId="0" xfId="2" applyNumberFormat="1" applyFont="1" applyAlignment="1" applyProtection="1">
      <alignment horizontal="left" vertical="center"/>
      <protection locked="0"/>
    </xf>
    <xf numFmtId="166" fontId="14" fillId="0" borderId="0" xfId="2" applyNumberFormat="1" applyFont="1" applyAlignment="1" applyProtection="1">
      <alignment vertical="center"/>
      <protection locked="0"/>
    </xf>
    <xf numFmtId="166" fontId="17" fillId="0" borderId="0" xfId="2" quotePrefix="1" applyNumberFormat="1" applyFont="1" applyAlignment="1" applyProtection="1">
      <alignment horizontal="right" vertical="center"/>
      <protection locked="0"/>
    </xf>
    <xf numFmtId="166" fontId="13" fillId="0" borderId="20" xfId="2" applyNumberFormat="1" applyFont="1" applyBorder="1" applyAlignment="1" applyProtection="1">
      <alignment horizontal="center" vertical="center"/>
      <protection locked="0"/>
    </xf>
    <xf numFmtId="166" fontId="12" fillId="0" borderId="20" xfId="2" applyNumberFormat="1" applyFont="1" applyBorder="1" applyAlignment="1" applyProtection="1">
      <alignment vertical="center"/>
      <protection locked="0"/>
    </xf>
    <xf numFmtId="166" fontId="15" fillId="0" borderId="0" xfId="2" applyNumberFormat="1" applyFont="1" applyAlignment="1" applyProtection="1">
      <alignment vertical="center"/>
      <protection locked="0"/>
    </xf>
    <xf numFmtId="166" fontId="15" fillId="0" borderId="0" xfId="2" applyNumberFormat="1" applyFont="1" applyAlignment="1" applyProtection="1">
      <alignment horizontal="center" vertical="center"/>
      <protection locked="0"/>
    </xf>
    <xf numFmtId="166" fontId="16" fillId="0" borderId="0" xfId="2" applyNumberFormat="1" applyFont="1" applyAlignment="1" applyProtection="1">
      <alignment horizontal="center" vertical="center"/>
      <protection locked="0"/>
    </xf>
    <xf numFmtId="166" fontId="16" fillId="0" borderId="0" xfId="2" applyNumberFormat="1" applyFont="1" applyAlignment="1" applyProtection="1">
      <alignment vertical="center"/>
      <protection locked="0"/>
    </xf>
    <xf numFmtId="0" fontId="24" fillId="0" borderId="0" xfId="0" applyFont="1" applyProtection="1">
      <protection locked="0"/>
    </xf>
    <xf numFmtId="172" fontId="13" fillId="0" borderId="20" xfId="2" applyNumberFormat="1" applyFont="1" applyBorder="1" applyAlignment="1" applyProtection="1">
      <alignment horizontal="left" vertical="center"/>
      <protection locked="0"/>
    </xf>
    <xf numFmtId="0" fontId="38" fillId="0" borderId="0" xfId="0" applyFont="1" applyProtection="1">
      <protection locked="0"/>
    </xf>
    <xf numFmtId="0" fontId="38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166" fontId="16" fillId="0" borderId="21" xfId="2" applyNumberFormat="1" applyFont="1" applyBorder="1" applyAlignment="1" applyProtection="1">
      <alignment horizontal="center" vertical="center"/>
      <protection locked="0"/>
    </xf>
    <xf numFmtId="166" fontId="16" fillId="0" borderId="21" xfId="2" applyNumberFormat="1" applyFont="1" applyBorder="1" applyAlignment="1" applyProtection="1">
      <alignment vertical="center"/>
      <protection locked="0"/>
    </xf>
    <xf numFmtId="0" fontId="37" fillId="0" borderId="0" xfId="0" applyFont="1" applyProtection="1">
      <protection locked="0"/>
    </xf>
    <xf numFmtId="166" fontId="12" fillId="0" borderId="56" xfId="2" applyNumberFormat="1" applyFont="1" applyBorder="1" applyAlignment="1" applyProtection="1">
      <alignment horizontal="center" vertical="center"/>
      <protection locked="0"/>
    </xf>
    <xf numFmtId="166" fontId="12" fillId="0" borderId="56" xfId="2" applyNumberFormat="1" applyFont="1" applyBorder="1" applyAlignment="1" applyProtection="1">
      <alignment vertical="center"/>
      <protection locked="0"/>
    </xf>
    <xf numFmtId="166" fontId="6" fillId="0" borderId="0" xfId="2" applyNumberFormat="1" applyFont="1" applyAlignment="1" applyProtection="1">
      <alignment horizontal="left" vertical="center"/>
      <protection locked="0"/>
    </xf>
    <xf numFmtId="166" fontId="5" fillId="0" borderId="0" xfId="2" applyNumberFormat="1" applyFont="1" applyAlignment="1" applyProtection="1">
      <alignment horizontal="left" vertical="center"/>
      <protection locked="0"/>
    </xf>
    <xf numFmtId="166" fontId="5" fillId="0" borderId="0" xfId="2" quotePrefix="1" applyNumberFormat="1" applyFont="1" applyAlignment="1" applyProtection="1">
      <alignment horizontal="right" vertical="center"/>
      <protection locked="0"/>
    </xf>
    <xf numFmtId="166" fontId="18" fillId="0" borderId="0" xfId="2" applyNumberFormat="1" applyFont="1" applyAlignment="1" applyProtection="1">
      <alignment vertical="center"/>
      <protection locked="0"/>
    </xf>
    <xf numFmtId="166" fontId="18" fillId="0" borderId="0" xfId="2" applyNumberFormat="1" applyFont="1" applyAlignment="1" applyProtection="1">
      <alignment horizontal="center" vertical="center"/>
      <protection locked="0"/>
    </xf>
    <xf numFmtId="166" fontId="5" fillId="0" borderId="0" xfId="2" applyNumberFormat="1" applyFont="1" applyAlignment="1" applyProtection="1">
      <alignment vertical="center"/>
      <protection locked="0"/>
    </xf>
    <xf numFmtId="166" fontId="17" fillId="0" borderId="0" xfId="2" applyNumberFormat="1" applyFont="1" applyAlignment="1" applyProtection="1">
      <alignment horizontal="left" vertical="center"/>
      <protection locked="0"/>
    </xf>
    <xf numFmtId="166" fontId="12" fillId="0" borderId="0" xfId="2" applyNumberFormat="1" applyFont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166" fontId="17" fillId="0" borderId="0" xfId="2" applyNumberFormat="1" applyFont="1" applyAlignment="1" applyProtection="1">
      <alignment vertical="center"/>
      <protection locked="0"/>
    </xf>
    <xf numFmtId="166" fontId="16" fillId="0" borderId="20" xfId="2" applyNumberFormat="1" applyFont="1" applyBorder="1" applyAlignment="1" applyProtection="1">
      <alignment horizontal="center" vertical="center"/>
      <protection locked="0"/>
    </xf>
    <xf numFmtId="166" fontId="16" fillId="0" borderId="20" xfId="2" applyNumberFormat="1" applyFont="1" applyBorder="1" applyAlignment="1" applyProtection="1">
      <alignment vertical="center"/>
      <protection locked="0"/>
    </xf>
    <xf numFmtId="166" fontId="19" fillId="0" borderId="0" xfId="2" applyNumberFormat="1" applyFont="1" applyAlignment="1" applyProtection="1">
      <alignment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left"/>
      <protection locked="0"/>
    </xf>
    <xf numFmtId="166" fontId="16" fillId="0" borderId="57" xfId="2" applyNumberFormat="1" applyFont="1" applyBorder="1" applyAlignment="1" applyProtection="1">
      <alignment horizontal="center" vertical="center"/>
      <protection locked="0"/>
    </xf>
    <xf numFmtId="166" fontId="16" fillId="0" borderId="57" xfId="2" applyNumberFormat="1" applyFont="1" applyBorder="1" applyAlignment="1" applyProtection="1">
      <alignment vertical="center"/>
      <protection locked="0"/>
    </xf>
    <xf numFmtId="166" fontId="4" fillId="0" borderId="0" xfId="2" applyNumberFormat="1" applyFont="1" applyAlignment="1" applyProtection="1">
      <alignment vertical="center"/>
      <protection locked="0"/>
    </xf>
    <xf numFmtId="166" fontId="20" fillId="0" borderId="0" xfId="2" applyNumberFormat="1" applyFont="1" applyAlignment="1" applyProtection="1">
      <alignment horizontal="right" vertical="center"/>
      <protection locked="0"/>
    </xf>
    <xf numFmtId="0" fontId="27" fillId="0" borderId="12" xfId="0" applyFont="1" applyBorder="1" applyAlignment="1" applyProtection="1">
      <alignment vertical="center"/>
      <protection locked="0"/>
    </xf>
    <xf numFmtId="0" fontId="27" fillId="0" borderId="25" xfId="0" applyFont="1" applyBorder="1" applyAlignment="1" applyProtection="1">
      <alignment vertical="center"/>
      <protection locked="0"/>
    </xf>
    <xf numFmtId="0" fontId="27" fillId="0" borderId="7" xfId="0" applyFont="1" applyBorder="1" applyAlignment="1" applyProtection="1">
      <alignment vertical="center"/>
      <protection locked="0"/>
    </xf>
    <xf numFmtId="0" fontId="24" fillId="0" borderId="5" xfId="0" applyFont="1" applyBorder="1" applyProtection="1">
      <protection locked="0"/>
    </xf>
    <xf numFmtId="0" fontId="30" fillId="0" borderId="5" xfId="0" applyFont="1" applyBorder="1" applyProtection="1">
      <protection locked="0"/>
    </xf>
    <xf numFmtId="0" fontId="24" fillId="0" borderId="8" xfId="0" applyFont="1" applyBorder="1" applyProtection="1">
      <protection locked="0"/>
    </xf>
    <xf numFmtId="0" fontId="24" fillId="0" borderId="15" xfId="0" applyFont="1" applyBorder="1" applyAlignment="1" applyProtection="1">
      <alignment horizontal="center"/>
      <protection locked="0"/>
    </xf>
    <xf numFmtId="0" fontId="24" fillId="0" borderId="0" xfId="0" applyFont="1" applyAlignment="1" applyProtection="1">
      <alignment horizontal="center"/>
      <protection locked="0"/>
    </xf>
    <xf numFmtId="0" fontId="24" fillId="0" borderId="16" xfId="0" applyFont="1" applyBorder="1" applyAlignment="1" applyProtection="1">
      <alignment horizontal="center"/>
      <protection locked="0"/>
    </xf>
    <xf numFmtId="0" fontId="0" fillId="0" borderId="47" xfId="0" applyBorder="1" applyProtection="1">
      <protection locked="0"/>
    </xf>
    <xf numFmtId="0" fontId="27" fillId="0" borderId="48" xfId="0" applyFont="1" applyBorder="1" applyAlignment="1" applyProtection="1">
      <alignment vertical="center"/>
      <protection locked="0"/>
    </xf>
    <xf numFmtId="0" fontId="27" fillId="0" borderId="49" xfId="0" applyFont="1" applyBorder="1" applyAlignment="1" applyProtection="1">
      <alignment vertic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31" fillId="3" borderId="24" xfId="0" applyFont="1" applyFill="1" applyBorder="1" applyAlignment="1" applyProtection="1">
      <alignment horizontal="center" vertical="center"/>
      <protection locked="0"/>
    </xf>
    <xf numFmtId="0" fontId="31" fillId="3" borderId="23" xfId="0" applyFont="1" applyFill="1" applyBorder="1" applyAlignment="1" applyProtection="1">
      <alignment horizontal="center" vertical="center"/>
      <protection locked="0"/>
    </xf>
    <xf numFmtId="0" fontId="32" fillId="3" borderId="52" xfId="0" applyFont="1" applyFill="1" applyBorder="1" applyAlignment="1" applyProtection="1">
      <alignment horizontal="center" vertical="center" wrapText="1"/>
      <protection locked="0"/>
    </xf>
    <xf numFmtId="0" fontId="32" fillId="3" borderId="53" xfId="0" applyFont="1" applyFill="1" applyBorder="1" applyAlignment="1" applyProtection="1">
      <alignment horizontal="center" vertical="center" wrapText="1"/>
      <protection locked="0"/>
    </xf>
    <xf numFmtId="0" fontId="31" fillId="0" borderId="52" xfId="0" applyFont="1" applyBorder="1" applyAlignment="1" applyProtection="1">
      <alignment horizontal="center" vertical="center"/>
      <protection locked="0"/>
    </xf>
    <xf numFmtId="0" fontId="31" fillId="0" borderId="54" xfId="0" applyFont="1" applyBorder="1" applyAlignment="1" applyProtection="1">
      <alignment vertical="center"/>
      <protection locked="0"/>
    </xf>
    <xf numFmtId="0" fontId="31" fillId="0" borderId="53" xfId="0" applyFont="1" applyBorder="1" applyAlignment="1" applyProtection="1">
      <alignment vertical="center"/>
      <protection locked="0"/>
    </xf>
    <xf numFmtId="2" fontId="7" fillId="0" borderId="9" xfId="2" applyNumberFormat="1" applyFont="1" applyBorder="1" applyAlignment="1">
      <alignment horizontal="center" vertical="center"/>
    </xf>
    <xf numFmtId="2" fontId="7" fillId="0" borderId="45" xfId="2" applyNumberFormat="1" applyFont="1" applyBorder="1" applyAlignment="1">
      <alignment horizontal="center" vertical="center"/>
    </xf>
    <xf numFmtId="2" fontId="7" fillId="0" borderId="10" xfId="2" applyNumberFormat="1" applyFont="1" applyBorder="1" applyAlignment="1">
      <alignment horizontal="center" vertical="center"/>
    </xf>
    <xf numFmtId="169" fontId="13" fillId="0" borderId="0" xfId="1" quotePrefix="1" applyNumberFormat="1" applyFont="1" applyAlignment="1" applyProtection="1">
      <alignment horizontal="center" vertical="center"/>
    </xf>
    <xf numFmtId="169" fontId="13" fillId="0" borderId="18" xfId="1" quotePrefix="1" applyNumberFormat="1" applyFont="1" applyBorder="1" applyAlignment="1" applyProtection="1">
      <alignment horizontal="center" vertical="center"/>
    </xf>
    <xf numFmtId="170" fontId="3" fillId="0" borderId="19" xfId="1" quotePrefix="1" applyNumberFormat="1" applyFont="1" applyBorder="1" applyAlignment="1" applyProtection="1">
      <alignment horizontal="center" vertical="center"/>
    </xf>
    <xf numFmtId="166" fontId="38" fillId="0" borderId="0" xfId="0" applyNumberFormat="1" applyFont="1" applyProtection="1">
      <protection locked="0"/>
    </xf>
    <xf numFmtId="175" fontId="7" fillId="0" borderId="11" xfId="2" applyNumberFormat="1" applyFont="1" applyBorder="1" applyAlignment="1" applyProtection="1">
      <alignment horizontal="center" vertical="center"/>
      <protection locked="0"/>
    </xf>
    <xf numFmtId="175" fontId="7" fillId="0" borderId="55" xfId="2" applyNumberFormat="1" applyFont="1" applyBorder="1" applyAlignment="1" applyProtection="1">
      <alignment horizontal="center" vertical="center"/>
      <protection locked="0"/>
    </xf>
    <xf numFmtId="167" fontId="11" fillId="0" borderId="0" xfId="2" applyNumberFormat="1" applyFont="1" applyAlignment="1" applyProtection="1">
      <alignment horizontal="left" vertical="center"/>
      <protection locked="0"/>
    </xf>
    <xf numFmtId="39" fontId="11" fillId="0" borderId="0" xfId="2" applyNumberFormat="1" applyFont="1" applyAlignment="1">
      <alignment horizontal="left" vertical="center"/>
    </xf>
    <xf numFmtId="168" fontId="11" fillId="0" borderId="0" xfId="2" applyNumberFormat="1" applyFont="1" applyAlignment="1" applyProtection="1">
      <alignment horizontal="left" vertical="center"/>
      <protection locked="0"/>
    </xf>
    <xf numFmtId="2" fontId="7" fillId="0" borderId="16" xfId="2" applyNumberFormat="1" applyFont="1" applyBorder="1" applyAlignment="1">
      <alignment horizontal="center" vertical="center"/>
    </xf>
    <xf numFmtId="2" fontId="7" fillId="0" borderId="15" xfId="2" applyNumberFormat="1" applyFont="1" applyBorder="1" applyAlignment="1">
      <alignment horizontal="center" vertical="center"/>
    </xf>
    <xf numFmtId="2" fontId="7" fillId="0" borderId="8" xfId="2" applyNumberFormat="1" applyFont="1" applyBorder="1" applyAlignment="1">
      <alignment horizontal="center" vertical="center"/>
    </xf>
    <xf numFmtId="175" fontId="7" fillId="0" borderId="6" xfId="2" applyNumberFormat="1" applyFont="1" applyBorder="1" applyAlignment="1" applyProtection="1">
      <alignment horizontal="center" vertical="center"/>
      <protection locked="0"/>
    </xf>
    <xf numFmtId="2" fontId="7" fillId="0" borderId="14" xfId="2" applyNumberFormat="1" applyFont="1" applyBorder="1" applyAlignment="1">
      <alignment horizontal="center" vertical="center"/>
    </xf>
    <xf numFmtId="0" fontId="41" fillId="0" borderId="0" xfId="0" applyFont="1" applyProtection="1">
      <protection locked="0"/>
    </xf>
    <xf numFmtId="166" fontId="41" fillId="0" borderId="0" xfId="0" applyNumberFormat="1" applyFont="1" applyProtection="1">
      <protection locked="0"/>
    </xf>
    <xf numFmtId="0" fontId="42" fillId="0" borderId="0" xfId="0" applyFont="1"/>
    <xf numFmtId="171" fontId="43" fillId="0" borderId="12" xfId="0" applyNumberFormat="1" applyFont="1" applyBorder="1" applyAlignment="1">
      <alignment horizontal="center" vertical="center"/>
    </xf>
    <xf numFmtId="166" fontId="43" fillId="0" borderId="7" xfId="0" applyNumberFormat="1" applyFont="1" applyBorder="1" applyAlignment="1">
      <alignment horizontal="center" vertical="center"/>
    </xf>
    <xf numFmtId="0" fontId="43" fillId="0" borderId="14" xfId="0" applyFont="1" applyBorder="1" applyProtection="1">
      <protection locked="0"/>
    </xf>
    <xf numFmtId="0" fontId="43" fillId="0" borderId="10" xfId="0" applyFont="1" applyBorder="1" applyProtection="1">
      <protection locked="0"/>
    </xf>
    <xf numFmtId="0" fontId="0" fillId="0" borderId="14" xfId="0" applyBorder="1" applyAlignment="1" applyProtection="1">
      <alignment vertical="center" wrapText="1"/>
      <protection locked="0"/>
    </xf>
    <xf numFmtId="0" fontId="0" fillId="0" borderId="9" xfId="0" applyBorder="1" applyAlignment="1" applyProtection="1">
      <alignment vertical="center" wrapText="1"/>
      <protection locked="0"/>
    </xf>
    <xf numFmtId="0" fontId="21" fillId="0" borderId="14" xfId="0" applyFont="1" applyBorder="1" applyProtection="1">
      <protection locked="0"/>
    </xf>
    <xf numFmtId="0" fontId="21" fillId="0" borderId="9" xfId="0" applyFont="1" applyBorder="1" applyProtection="1">
      <protection locked="0"/>
    </xf>
    <xf numFmtId="0" fontId="44" fillId="0" borderId="14" xfId="0" applyFont="1" applyBorder="1" applyAlignment="1" applyProtection="1">
      <alignment horizontal="center"/>
      <protection locked="0"/>
    </xf>
    <xf numFmtId="0" fontId="44" fillId="0" borderId="10" xfId="0" applyFont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21" fillId="0" borderId="10" xfId="0" applyFont="1" applyBorder="1" applyAlignment="1" applyProtection="1">
      <alignment horizontal="center"/>
      <protection locked="0"/>
    </xf>
    <xf numFmtId="0" fontId="21" fillId="0" borderId="9" xfId="0" applyFont="1" applyBorder="1" applyAlignment="1" applyProtection="1">
      <alignment horizontal="center"/>
      <protection locked="0"/>
    </xf>
    <xf numFmtId="0" fontId="23" fillId="0" borderId="0" xfId="0" applyFont="1" applyAlignment="1" applyProtection="1">
      <alignment horizontal="center"/>
      <protection locked="0"/>
    </xf>
    <xf numFmtId="2" fontId="7" fillId="0" borderId="58" xfId="2" applyNumberFormat="1" applyFont="1" applyBorder="1" applyAlignment="1">
      <alignment horizontal="center" vertical="center"/>
    </xf>
    <xf numFmtId="2" fontId="7" fillId="0" borderId="9" xfId="2" applyNumberFormat="1" applyFont="1" applyBorder="1" applyAlignment="1">
      <alignment horizontal="center" vertical="center"/>
    </xf>
    <xf numFmtId="166" fontId="6" fillId="0" borderId="39" xfId="2" applyNumberFormat="1" applyFont="1" applyBorder="1" applyAlignment="1" applyProtection="1">
      <alignment horizontal="center" vertical="center" wrapText="1"/>
      <protection locked="0"/>
    </xf>
    <xf numFmtId="166" fontId="6" fillId="0" borderId="40" xfId="2" applyNumberFormat="1" applyFont="1" applyBorder="1" applyAlignment="1" applyProtection="1">
      <alignment horizontal="center" vertical="center" wrapText="1"/>
      <protection locked="0"/>
    </xf>
    <xf numFmtId="166" fontId="6" fillId="0" borderId="44" xfId="2" applyNumberFormat="1" applyFont="1" applyBorder="1" applyAlignment="1" applyProtection="1">
      <alignment horizontal="center" vertical="center" wrapText="1"/>
      <protection locked="0"/>
    </xf>
    <xf numFmtId="0" fontId="21" fillId="0" borderId="14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9" xfId="0" applyFont="1" applyBorder="1" applyAlignment="1" applyProtection="1">
      <alignment horizontal="center" vertical="center"/>
      <protection locked="0"/>
    </xf>
    <xf numFmtId="0" fontId="21" fillId="0" borderId="12" xfId="0" applyFont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21" fillId="0" borderId="15" xfId="0" applyFont="1" applyBorder="1" applyAlignment="1" applyProtection="1">
      <alignment horizontal="center" vertical="center" wrapText="1"/>
      <protection locked="0"/>
    </xf>
    <xf numFmtId="0" fontId="21" fillId="0" borderId="16" xfId="0" applyFont="1" applyBorder="1" applyAlignment="1" applyProtection="1">
      <alignment horizontal="center" vertical="center" wrapText="1"/>
      <protection locked="0"/>
    </xf>
    <xf numFmtId="166" fontId="3" fillId="0" borderId="0" xfId="2" applyNumberFormat="1" applyFont="1" applyAlignment="1" applyProtection="1">
      <alignment horizontal="center" vertical="center"/>
      <protection locked="0"/>
    </xf>
    <xf numFmtId="166" fontId="6" fillId="0" borderId="1" xfId="2" applyNumberFormat="1" applyFont="1" applyBorder="1" applyAlignment="1" applyProtection="1">
      <alignment horizontal="center" vertical="center" wrapText="1"/>
      <protection locked="0"/>
    </xf>
    <xf numFmtId="166" fontId="6" fillId="0" borderId="0" xfId="2" applyNumberFormat="1" applyFont="1" applyAlignment="1" applyProtection="1">
      <alignment horizontal="center" vertical="center" wrapText="1"/>
      <protection locked="0"/>
    </xf>
    <xf numFmtId="166" fontId="6" fillId="0" borderId="30" xfId="2" applyNumberFormat="1" applyFont="1" applyBorder="1" applyAlignment="1" applyProtection="1">
      <alignment horizontal="center" vertical="center" wrapText="1"/>
      <protection locked="0"/>
    </xf>
    <xf numFmtId="166" fontId="6" fillId="0" borderId="32" xfId="2" applyNumberFormat="1" applyFont="1" applyBorder="1" applyAlignment="1" applyProtection="1">
      <alignment horizontal="center" vertical="center" wrapText="1"/>
      <protection locked="0"/>
    </xf>
    <xf numFmtId="166" fontId="6" fillId="0" borderId="33" xfId="2" applyNumberFormat="1" applyFont="1" applyBorder="1" applyAlignment="1" applyProtection="1">
      <alignment horizontal="center" vertical="center" wrapText="1"/>
      <protection locked="0"/>
    </xf>
    <xf numFmtId="166" fontId="6" fillId="0" borderId="34" xfId="2" applyNumberFormat="1" applyFont="1" applyBorder="1" applyAlignment="1" applyProtection="1">
      <alignment horizontal="center" vertical="center" wrapText="1"/>
      <protection locked="0"/>
    </xf>
    <xf numFmtId="166" fontId="6" fillId="0" borderId="29" xfId="2" applyNumberFormat="1" applyFont="1" applyBorder="1" applyAlignment="1" applyProtection="1">
      <alignment horizontal="center" vertical="center" wrapText="1"/>
      <protection locked="0"/>
    </xf>
    <xf numFmtId="166" fontId="6" fillId="0" borderId="28" xfId="2" applyNumberFormat="1" applyFont="1" applyBorder="1" applyAlignment="1" applyProtection="1">
      <alignment horizontal="center" vertical="center" wrapText="1"/>
      <protection locked="0"/>
    </xf>
    <xf numFmtId="166" fontId="6" fillId="0" borderId="31" xfId="2" applyNumberFormat="1" applyFont="1" applyBorder="1" applyAlignment="1" applyProtection="1">
      <alignment horizontal="center" vertical="center"/>
      <protection locked="0"/>
    </xf>
    <xf numFmtId="166" fontId="6" fillId="0" borderId="32" xfId="2" applyNumberFormat="1" applyFont="1" applyBorder="1" applyAlignment="1" applyProtection="1">
      <alignment horizontal="center" vertical="center"/>
      <protection locked="0"/>
    </xf>
    <xf numFmtId="166" fontId="6" fillId="0" borderId="0" xfId="2" applyNumberFormat="1" applyFont="1" applyAlignment="1" applyProtection="1">
      <alignment horizontal="center" vertical="center"/>
      <protection locked="0"/>
    </xf>
    <xf numFmtId="166" fontId="6" fillId="0" borderId="29" xfId="2" applyNumberFormat="1" applyFont="1" applyBorder="1" applyAlignment="1" applyProtection="1">
      <alignment horizontal="center" vertical="center"/>
      <protection locked="0"/>
    </xf>
    <xf numFmtId="166" fontId="7" fillId="0" borderId="0" xfId="2" applyNumberFormat="1" applyFont="1" applyAlignment="1" applyProtection="1">
      <alignment horizontal="center" vertical="center"/>
      <protection locked="0"/>
    </xf>
    <xf numFmtId="49" fontId="8" fillId="0" borderId="0" xfId="2" applyNumberFormat="1" applyFont="1" applyAlignment="1" applyProtection="1">
      <alignment horizontal="center" vertical="center"/>
      <protection locked="0"/>
    </xf>
    <xf numFmtId="166" fontId="9" fillId="0" borderId="0" xfId="2" applyNumberFormat="1" applyFont="1" applyAlignment="1" applyProtection="1">
      <alignment horizontal="center" vertical="center"/>
      <protection locked="0"/>
    </xf>
    <xf numFmtId="1" fontId="11" fillId="0" borderId="0" xfId="2" applyNumberFormat="1" applyFont="1" applyAlignment="1" applyProtection="1">
      <alignment horizontal="left" vertical="center"/>
      <protection locked="0"/>
    </xf>
    <xf numFmtId="0" fontId="21" fillId="0" borderId="14" xfId="0" applyFont="1" applyBorder="1" applyAlignment="1" applyProtection="1">
      <alignment horizontal="center" vertical="center" wrapText="1"/>
      <protection locked="0"/>
    </xf>
    <xf numFmtId="0" fontId="21" fillId="0" borderId="10" xfId="0" applyFont="1" applyBorder="1" applyAlignment="1" applyProtection="1">
      <alignment horizontal="center" vertical="center" wrapText="1"/>
      <protection locked="0"/>
    </xf>
    <xf numFmtId="0" fontId="21" fillId="0" borderId="9" xfId="0" applyFont="1" applyBorder="1" applyAlignment="1" applyProtection="1">
      <alignment horizontal="center" vertical="center" wrapText="1"/>
      <protection locked="0"/>
    </xf>
    <xf numFmtId="49" fontId="6" fillId="0" borderId="9" xfId="2" applyNumberFormat="1" applyFont="1" applyBorder="1" applyAlignment="1" applyProtection="1">
      <alignment horizontal="center" vertical="center" wrapText="1"/>
      <protection locked="0"/>
    </xf>
    <xf numFmtId="49" fontId="6" fillId="0" borderId="22" xfId="2" applyNumberFormat="1" applyFont="1" applyBorder="1" applyAlignment="1" applyProtection="1">
      <alignment horizontal="center" vertical="center" wrapText="1"/>
      <protection locked="0"/>
    </xf>
    <xf numFmtId="2" fontId="7" fillId="0" borderId="59" xfId="2" applyNumberFormat="1" applyFont="1" applyBorder="1" applyAlignment="1">
      <alignment horizontal="center" vertical="center"/>
    </xf>
    <xf numFmtId="2" fontId="7" fillId="0" borderId="45" xfId="2" applyNumberFormat="1" applyFont="1" applyBorder="1" applyAlignment="1">
      <alignment horizontal="center" vertical="center"/>
    </xf>
    <xf numFmtId="166" fontId="11" fillId="0" borderId="60" xfId="2" applyNumberFormat="1" applyFont="1" applyBorder="1" applyAlignment="1" applyProtection="1">
      <alignment horizontal="center" vertical="center" wrapText="1"/>
      <protection locked="0"/>
    </xf>
    <xf numFmtId="166" fontId="11" fillId="0" borderId="61" xfId="2" applyNumberFormat="1" applyFont="1" applyBorder="1" applyAlignment="1" applyProtection="1">
      <alignment horizontal="center" vertical="center" wrapText="1"/>
      <protection locked="0"/>
    </xf>
    <xf numFmtId="166" fontId="39" fillId="0" borderId="27" xfId="2" applyNumberFormat="1" applyFont="1" applyBorder="1" applyAlignment="1" applyProtection="1">
      <alignment horizontal="center" vertical="center" wrapText="1"/>
      <protection locked="0"/>
    </xf>
    <xf numFmtId="166" fontId="39" fillId="0" borderId="61" xfId="2" applyNumberFormat="1" applyFont="1" applyBorder="1" applyAlignment="1" applyProtection="1">
      <alignment horizontal="center" vertical="center" wrapText="1"/>
      <protection locked="0"/>
    </xf>
    <xf numFmtId="166" fontId="6" fillId="0" borderId="2" xfId="2" applyNumberFormat="1" applyFont="1" applyBorder="1" applyAlignment="1" applyProtection="1">
      <alignment horizontal="center" vertical="center"/>
      <protection locked="0"/>
    </xf>
    <xf numFmtId="166" fontId="6" fillId="0" borderId="16" xfId="2" applyNumberFormat="1" applyFont="1" applyBorder="1" applyAlignment="1" applyProtection="1">
      <alignment horizontal="center" vertical="center"/>
      <protection locked="0"/>
    </xf>
    <xf numFmtId="166" fontId="6" fillId="0" borderId="4" xfId="2" applyNumberFormat="1" applyFont="1" applyBorder="1" applyAlignment="1" applyProtection="1">
      <alignment horizontal="center" vertical="center"/>
      <protection locked="0"/>
    </xf>
    <xf numFmtId="166" fontId="6" fillId="0" borderId="5" xfId="2" applyNumberFormat="1" applyFont="1" applyBorder="1" applyAlignment="1" applyProtection="1">
      <alignment horizontal="center" vertical="center"/>
      <protection locked="0"/>
    </xf>
    <xf numFmtId="166" fontId="6" fillId="0" borderId="8" xfId="2" applyNumberFormat="1" applyFont="1" applyBorder="1" applyAlignment="1" applyProtection="1">
      <alignment horizontal="center" vertical="center"/>
      <protection locked="0"/>
    </xf>
    <xf numFmtId="174" fontId="7" fillId="0" borderId="58" xfId="2" applyNumberFormat="1" applyFont="1" applyBorder="1" applyAlignment="1" applyProtection="1">
      <alignment horizontal="center" vertical="center"/>
      <protection locked="0"/>
    </xf>
    <xf numFmtId="174" fontId="7" fillId="0" borderId="9" xfId="2" applyNumberFormat="1" applyFont="1" applyBorder="1" applyAlignment="1" applyProtection="1">
      <alignment horizontal="center" vertical="center"/>
      <protection locked="0"/>
    </xf>
    <xf numFmtId="173" fontId="7" fillId="2" borderId="7" xfId="2" applyNumberFormat="1" applyFont="1" applyFill="1" applyBorder="1" applyAlignment="1" applyProtection="1">
      <alignment horizontal="center" vertical="center" wrapText="1"/>
      <protection locked="0"/>
    </xf>
    <xf numFmtId="173" fontId="7" fillId="2" borderId="8" xfId="2" applyNumberFormat="1" applyFont="1" applyFill="1" applyBorder="1" applyAlignment="1" applyProtection="1">
      <alignment horizontal="center" vertical="center" wrapText="1"/>
      <protection locked="0"/>
    </xf>
    <xf numFmtId="173" fontId="7" fillId="2" borderId="12" xfId="2" applyNumberFormat="1" applyFont="1" applyFill="1" applyBorder="1" applyAlignment="1" applyProtection="1">
      <alignment horizontal="center" vertical="center" wrapText="1"/>
      <protection locked="0"/>
    </xf>
    <xf numFmtId="173" fontId="7" fillId="2" borderId="13" xfId="2" applyNumberFormat="1" applyFont="1" applyFill="1" applyBorder="1" applyAlignment="1" applyProtection="1">
      <alignment horizontal="center" vertical="center" wrapText="1"/>
      <protection locked="0"/>
    </xf>
    <xf numFmtId="173" fontId="43" fillId="0" borderId="7" xfId="0" applyNumberFormat="1" applyFont="1" applyBorder="1" applyAlignment="1">
      <alignment horizontal="center" vertical="center"/>
    </xf>
    <xf numFmtId="173" fontId="43" fillId="0" borderId="8" xfId="0" applyNumberFormat="1" applyFont="1" applyBorder="1" applyAlignment="1">
      <alignment horizontal="center" vertical="center"/>
    </xf>
    <xf numFmtId="173" fontId="43" fillId="0" borderId="12" xfId="0" applyNumberFormat="1" applyFont="1" applyBorder="1" applyAlignment="1">
      <alignment horizontal="center" vertical="center"/>
    </xf>
    <xf numFmtId="173" fontId="43" fillId="0" borderId="13" xfId="0" applyNumberFormat="1" applyFont="1" applyBorder="1" applyAlignment="1">
      <alignment horizontal="center" vertical="center"/>
    </xf>
    <xf numFmtId="0" fontId="36" fillId="0" borderId="0" xfId="0" applyFont="1" applyAlignment="1" applyProtection="1">
      <alignment horizontal="center" vertical="center" wrapText="1"/>
      <protection locked="0"/>
    </xf>
    <xf numFmtId="169" fontId="13" fillId="0" borderId="0" xfId="2" applyNumberFormat="1" applyFont="1" applyAlignment="1" applyProtection="1">
      <alignment horizontal="left" vertical="center"/>
      <protection locked="0"/>
    </xf>
    <xf numFmtId="166" fontId="12" fillId="0" borderId="0" xfId="2" applyNumberFormat="1" applyFont="1" applyAlignment="1" applyProtection="1">
      <alignment horizontal="left" vertical="center" wrapText="1"/>
      <protection locked="0"/>
    </xf>
    <xf numFmtId="0" fontId="37" fillId="0" borderId="0" xfId="0" applyFont="1" applyProtection="1">
      <protection locked="0"/>
    </xf>
    <xf numFmtId="0" fontId="25" fillId="0" borderId="0" xfId="0" applyFont="1" applyAlignment="1" applyProtection="1">
      <alignment horizontal="center" vertical="center" wrapText="1"/>
      <protection locked="0"/>
    </xf>
    <xf numFmtId="166" fontId="13" fillId="0" borderId="0" xfId="2" applyNumberFormat="1" applyFont="1" applyAlignment="1">
      <alignment horizontal="left" vertical="center"/>
    </xf>
    <xf numFmtId="0" fontId="38" fillId="0" borderId="0" xfId="0" applyFont="1" applyAlignment="1" applyProtection="1">
      <alignment horizontal="center"/>
      <protection locked="0"/>
    </xf>
    <xf numFmtId="166" fontId="13" fillId="0" borderId="20" xfId="2" applyNumberFormat="1" applyFont="1" applyBorder="1" applyAlignment="1">
      <alignment horizontal="left" vertical="center"/>
    </xf>
    <xf numFmtId="166" fontId="38" fillId="0" borderId="0" xfId="0" applyNumberFormat="1" applyFont="1" applyAlignment="1">
      <alignment horizontal="left" vertical="center"/>
    </xf>
    <xf numFmtId="166" fontId="38" fillId="0" borderId="0" xfId="0" applyNumberFormat="1" applyFont="1" applyAlignment="1">
      <alignment horizontal="left"/>
    </xf>
    <xf numFmtId="0" fontId="38" fillId="0" borderId="0" xfId="0" applyFont="1" applyAlignment="1">
      <alignment horizontal="left" vertical="center"/>
    </xf>
    <xf numFmtId="0" fontId="24" fillId="0" borderId="0" xfId="0" applyFont="1" applyProtection="1">
      <protection locked="0"/>
    </xf>
    <xf numFmtId="0" fontId="33" fillId="0" borderId="0" xfId="0" applyFont="1" applyProtection="1">
      <protection locked="0"/>
    </xf>
    <xf numFmtId="0" fontId="27" fillId="0" borderId="22" xfId="0" applyFont="1" applyBorder="1" applyAlignment="1" applyProtection="1">
      <alignment horizontal="center" vertical="center"/>
      <protection locked="0"/>
    </xf>
    <xf numFmtId="0" fontId="31" fillId="0" borderId="47" xfId="0" applyFont="1" applyBorder="1" applyAlignment="1" applyProtection="1">
      <alignment horizontal="center" vertical="center"/>
      <protection locked="0"/>
    </xf>
    <xf numFmtId="0" fontId="31" fillId="0" borderId="48" xfId="0" applyFont="1" applyBorder="1" applyAlignment="1" applyProtection="1">
      <alignment horizontal="center" vertical="center"/>
      <protection locked="0"/>
    </xf>
    <xf numFmtId="0" fontId="31" fillId="0" borderId="49" xfId="0" applyFont="1" applyBorder="1" applyAlignment="1" applyProtection="1">
      <alignment horizontal="center" vertical="center"/>
      <protection locked="0"/>
    </xf>
    <xf numFmtId="0" fontId="27" fillId="3" borderId="50" xfId="0" applyFont="1" applyFill="1" applyBorder="1" applyAlignment="1" applyProtection="1">
      <alignment horizontal="center" vertical="center"/>
      <protection locked="0"/>
    </xf>
    <xf numFmtId="0" fontId="27" fillId="3" borderId="51" xfId="0" applyFont="1" applyFill="1" applyBorder="1" applyAlignment="1" applyProtection="1">
      <alignment horizontal="center" vertical="center"/>
      <protection locked="0"/>
    </xf>
    <xf numFmtId="0" fontId="31" fillId="3" borderId="12" xfId="0" applyFont="1" applyFill="1" applyBorder="1" applyAlignment="1" applyProtection="1">
      <alignment horizontal="center" vertical="center" wrapText="1"/>
      <protection locked="0"/>
    </xf>
    <xf numFmtId="0" fontId="31" fillId="3" borderId="25" xfId="0" applyFont="1" applyFill="1" applyBorder="1" applyAlignment="1" applyProtection="1">
      <alignment horizontal="center" vertical="center" wrapText="1"/>
      <protection locked="0"/>
    </xf>
    <xf numFmtId="0" fontId="31" fillId="3" borderId="13" xfId="0" applyFont="1" applyFill="1" applyBorder="1" applyAlignment="1" applyProtection="1">
      <alignment horizontal="center" vertical="center" wrapText="1"/>
      <protection locked="0"/>
    </xf>
    <xf numFmtId="0" fontId="31" fillId="3" borderId="7" xfId="0" applyFont="1" applyFill="1" applyBorder="1" applyAlignment="1" applyProtection="1">
      <alignment horizontal="center" vertical="center" wrapText="1"/>
      <protection locked="0"/>
    </xf>
    <xf numFmtId="0" fontId="31" fillId="3" borderId="5" xfId="0" applyFont="1" applyFill="1" applyBorder="1" applyAlignment="1" applyProtection="1">
      <alignment horizontal="center" vertical="center" wrapText="1"/>
      <protection locked="0"/>
    </xf>
    <xf numFmtId="0" fontId="31" fillId="3" borderId="8" xfId="0" applyFont="1" applyFill="1" applyBorder="1" applyAlignment="1" applyProtection="1">
      <alignment horizontal="center" vertical="center" wrapText="1"/>
      <protection locked="0"/>
    </xf>
    <xf numFmtId="0" fontId="31" fillId="3" borderId="15" xfId="0" applyFont="1" applyFill="1" applyBorder="1" applyAlignment="1" applyProtection="1">
      <alignment horizontal="center" vertical="center" wrapText="1"/>
      <protection locked="0"/>
    </xf>
    <xf numFmtId="0" fontId="31" fillId="3" borderId="0" xfId="0" applyFont="1" applyFill="1" applyAlignment="1" applyProtection="1">
      <alignment horizontal="center" vertical="center" wrapText="1"/>
      <protection locked="0"/>
    </xf>
    <xf numFmtId="166" fontId="13" fillId="0" borderId="0" xfId="2" applyNumberFormat="1" applyFont="1" applyAlignment="1" applyProtection="1">
      <alignment horizontal="center" vertical="center"/>
      <protection locked="0"/>
    </xf>
    <xf numFmtId="0" fontId="26" fillId="0" borderId="47" xfId="0" applyFont="1" applyBorder="1" applyAlignment="1" applyProtection="1">
      <alignment horizontal="center" vertical="center"/>
      <protection locked="0"/>
    </xf>
    <xf numFmtId="0" fontId="26" fillId="0" borderId="48" xfId="0" applyFont="1" applyBorder="1" applyAlignment="1" applyProtection="1">
      <alignment horizontal="center" vertical="center"/>
      <protection locked="0"/>
    </xf>
    <xf numFmtId="0" fontId="26" fillId="0" borderId="49" xfId="0" applyFont="1" applyBorder="1" applyAlignment="1" applyProtection="1">
      <alignment horizontal="center" vertical="center"/>
      <protection locked="0"/>
    </xf>
    <xf numFmtId="0" fontId="26" fillId="3" borderId="47" xfId="0" applyFont="1" applyFill="1" applyBorder="1" applyAlignment="1" applyProtection="1">
      <alignment horizontal="center" vertical="center"/>
      <protection locked="0"/>
    </xf>
    <xf numFmtId="0" fontId="26" fillId="3" borderId="48" xfId="0" applyFont="1" applyFill="1" applyBorder="1" applyAlignment="1" applyProtection="1">
      <alignment horizontal="center" vertical="center"/>
      <protection locked="0"/>
    </xf>
    <xf numFmtId="0" fontId="26" fillId="3" borderId="49" xfId="0" applyFont="1" applyFill="1" applyBorder="1" applyAlignment="1" applyProtection="1">
      <alignment horizontal="center" vertical="center"/>
      <protection locked="0"/>
    </xf>
    <xf numFmtId="166" fontId="28" fillId="0" borderId="25" xfId="0" applyNumberFormat="1" applyFont="1" applyBorder="1" applyAlignment="1">
      <alignment horizontal="left" vertical="center"/>
    </xf>
    <xf numFmtId="0" fontId="28" fillId="0" borderId="25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9" fillId="0" borderId="47" xfId="0" applyFont="1" applyBorder="1" applyAlignment="1" applyProtection="1">
      <alignment horizontal="center" vertical="center" wrapText="1"/>
      <protection locked="0"/>
    </xf>
    <xf numFmtId="0" fontId="29" fillId="0" borderId="48" xfId="0" applyFont="1" applyBorder="1" applyAlignment="1" applyProtection="1">
      <alignment horizontal="center" vertical="center" wrapText="1"/>
      <protection locked="0"/>
    </xf>
    <xf numFmtId="0" fontId="29" fillId="0" borderId="49" xfId="0" applyFont="1" applyBorder="1" applyAlignment="1" applyProtection="1">
      <alignment horizontal="center" vertical="center" wrapText="1"/>
      <protection locked="0"/>
    </xf>
    <xf numFmtId="0" fontId="31" fillId="0" borderId="47" xfId="0" applyFont="1" applyBorder="1" applyAlignment="1" applyProtection="1">
      <alignment horizontal="center" vertical="center" wrapText="1"/>
      <protection locked="0"/>
    </xf>
    <xf numFmtId="0" fontId="31" fillId="0" borderId="48" xfId="0" applyFont="1" applyBorder="1" applyAlignment="1" applyProtection="1">
      <alignment horizontal="center" vertical="center" wrapText="1"/>
      <protection locked="0"/>
    </xf>
    <xf numFmtId="0" fontId="31" fillId="0" borderId="49" xfId="0" applyFont="1" applyBorder="1" applyAlignment="1" applyProtection="1">
      <alignment horizontal="center" vertical="center" wrapText="1"/>
      <protection locked="0"/>
    </xf>
    <xf numFmtId="0" fontId="26" fillId="0" borderId="47" xfId="0" applyFont="1" applyBorder="1" applyAlignment="1" applyProtection="1">
      <alignment horizontal="center" vertical="center" wrapText="1"/>
      <protection locked="0"/>
    </xf>
    <xf numFmtId="0" fontId="26" fillId="0" borderId="48" xfId="0" applyFont="1" applyBorder="1" applyAlignment="1" applyProtection="1">
      <alignment horizontal="center" vertical="center" wrapText="1"/>
      <protection locked="0"/>
    </xf>
    <xf numFmtId="0" fontId="26" fillId="0" borderId="49" xfId="0" applyFont="1" applyBorder="1" applyAlignment="1" applyProtection="1">
      <alignment horizontal="center" vertical="center" wrapText="1"/>
      <protection locked="0"/>
    </xf>
    <xf numFmtId="0" fontId="27" fillId="0" borderId="47" xfId="0" applyFont="1" applyBorder="1" applyAlignment="1" applyProtection="1">
      <alignment horizontal="center" vertical="center"/>
      <protection locked="0"/>
    </xf>
    <xf numFmtId="0" fontId="27" fillId="0" borderId="49" xfId="0" applyFont="1" applyBorder="1" applyAlignment="1" applyProtection="1">
      <alignment horizontal="center" vertical="center"/>
      <protection locked="0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514350</xdr:colOff>
      <xdr:row>0</xdr:row>
      <xdr:rowOff>47625</xdr:rowOff>
    </xdr:from>
    <xdr:to>
      <xdr:col>11</xdr:col>
      <xdr:colOff>990600</xdr:colOff>
      <xdr:row>2</xdr:row>
      <xdr:rowOff>104774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SpPr txBox="1"/>
      </xdr:nvSpPr>
      <xdr:spPr>
        <a:xfrm>
          <a:off x="6962775" y="47625"/>
          <a:ext cx="1095375" cy="4571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MY" sz="900">
              <a:ln>
                <a:noFill/>
              </a:ln>
            </a:rPr>
            <a:t>LAMPIRAN 'E'</a:t>
          </a:r>
        </a:p>
        <a:p>
          <a:r>
            <a:rPr lang="en-MY" sz="900">
              <a:ln>
                <a:noFill/>
              </a:ln>
            </a:rPr>
            <a:t>(Perintah Tetap Penjawatan Bil 30)</a:t>
          </a:r>
        </a:p>
      </xdr:txBody>
    </xdr:sp>
    <xdr:clientData/>
  </xdr:twoCellAnchor>
  <xdr:twoCellAnchor>
    <xdr:from>
      <xdr:col>16</xdr:col>
      <xdr:colOff>6350</xdr:colOff>
      <xdr:row>18</xdr:row>
      <xdr:rowOff>171450</xdr:rowOff>
    </xdr:from>
    <xdr:to>
      <xdr:col>16</xdr:col>
      <xdr:colOff>469900</xdr:colOff>
      <xdr:row>52</xdr:row>
      <xdr:rowOff>146050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FB81A0C2-A59A-7887-878B-80A973FE9882}"/>
            </a:ext>
          </a:extLst>
        </xdr:cNvPr>
        <xdr:cNvSpPr/>
      </xdr:nvSpPr>
      <xdr:spPr>
        <a:xfrm>
          <a:off x="11845925" y="3743325"/>
          <a:ext cx="463550" cy="6451600"/>
        </a:xfrm>
        <a:prstGeom prst="rightBrace">
          <a:avLst>
            <a:gd name="adj1" fmla="val 80296"/>
            <a:gd name="adj2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 editAs="oneCell">
    <xdr:from>
      <xdr:col>18</xdr:col>
      <xdr:colOff>584210</xdr:colOff>
      <xdr:row>2</xdr:row>
      <xdr:rowOff>95180</xdr:rowOff>
    </xdr:from>
    <xdr:to>
      <xdr:col>18</xdr:col>
      <xdr:colOff>584570</xdr:colOff>
      <xdr:row>2</xdr:row>
      <xdr:rowOff>95540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ECA0E9E8-6FFF-83F6-CB99-BED9A5A6D593}"/>
                </a:ext>
              </a:extLst>
            </xdr14:cNvPr>
            <xdr14:cNvContentPartPr/>
          </xdr14:nvContentPartPr>
          <xdr14:nvPr macro=""/>
          <xdr14:xfrm>
            <a:off x="17989560" y="48888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CA0E9E8-6FFF-83F6-CB99-BED9A5A6D5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80560" y="4798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09:51:11.2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24575,'0'0'-8191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4E58-DEC5-4CFF-AD7C-0D1451F04347}">
  <sheetPr codeName="Sheet2"/>
  <dimension ref="A1:R148"/>
  <sheetViews>
    <sheetView showGridLines="0" tabSelected="1" view="pageBreakPreview" topLeftCell="A3" zoomScaleNormal="100" zoomScaleSheetLayoutView="100" workbookViewId="0">
      <selection activeCell="P20" sqref="P20:P53"/>
    </sheetView>
  </sheetViews>
  <sheetFormatPr defaultColWidth="9.140625" defaultRowHeight="15" x14ac:dyDescent="0.25"/>
  <cols>
    <col min="1" max="1" width="12.140625" style="8" bestFit="1" customWidth="1"/>
    <col min="2" max="2" width="8.42578125" style="8" customWidth="1"/>
    <col min="3" max="3" width="8.5703125" style="8" customWidth="1"/>
    <col min="4" max="4" width="9.140625" style="8"/>
    <col min="5" max="5" width="8.5703125" style="8" customWidth="1"/>
    <col min="6" max="6" width="12" style="8" customWidth="1"/>
    <col min="7" max="8" width="9.28515625" style="8" customWidth="1"/>
    <col min="9" max="9" width="10" style="8" customWidth="1"/>
    <col min="10" max="11" width="9.28515625" style="8" customWidth="1"/>
    <col min="12" max="12" width="15.28515625" style="8" customWidth="1"/>
    <col min="13" max="13" width="13.140625" style="8" customWidth="1"/>
    <col min="14" max="15" width="7.42578125" style="8" customWidth="1"/>
    <col min="16" max="16" width="28.28515625" style="8" customWidth="1"/>
    <col min="17" max="17" width="30.5703125" style="8" customWidth="1"/>
    <col min="18" max="18" width="31.85546875" style="8" customWidth="1"/>
    <col min="19" max="16384" width="9.140625" style="8"/>
  </cols>
  <sheetData>
    <row r="1" spans="1:18" ht="15.75" x14ac:dyDescent="0.25">
      <c r="A1" s="174" t="s">
        <v>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9"/>
      <c r="N1" s="9"/>
      <c r="O1" s="9"/>
      <c r="P1" s="9"/>
      <c r="Q1" s="9"/>
    </row>
    <row r="2" spans="1:18" ht="15.75" x14ac:dyDescent="0.25">
      <c r="A2" s="174" t="s">
        <v>1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61"/>
      <c r="N2" s="161"/>
      <c r="O2" s="161"/>
      <c r="P2" s="161"/>
      <c r="Q2" s="161"/>
      <c r="R2" s="161"/>
    </row>
    <row r="3" spans="1:18" ht="15.75" x14ac:dyDescent="0.25">
      <c r="A3" s="10"/>
      <c r="B3" s="11"/>
      <c r="C3" s="11"/>
      <c r="D3" s="10"/>
      <c r="E3" s="10"/>
      <c r="F3" s="12"/>
      <c r="G3" s="13"/>
      <c r="H3" s="10"/>
      <c r="I3" s="10"/>
      <c r="J3" s="10"/>
      <c r="K3" s="10"/>
      <c r="L3" s="10"/>
      <c r="O3" s="9"/>
      <c r="P3" s="9"/>
      <c r="Q3" s="9"/>
      <c r="R3" s="9"/>
    </row>
    <row r="4" spans="1:18" ht="15.75" x14ac:dyDescent="0.25">
      <c r="A4" s="187" t="s">
        <v>2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O4" s="9"/>
      <c r="P4" s="9"/>
      <c r="Q4" s="9"/>
      <c r="R4" s="9"/>
    </row>
    <row r="5" spans="1:18" ht="18" x14ac:dyDescent="0.25">
      <c r="A5" s="188"/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O5" s="9"/>
      <c r="P5" s="9"/>
      <c r="Q5" s="9"/>
      <c r="R5" s="15" t="s">
        <v>58</v>
      </c>
    </row>
    <row r="6" spans="1:18" ht="15.75" x14ac:dyDescent="0.25">
      <c r="A6" s="189" t="s">
        <v>3</v>
      </c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O6" s="16"/>
      <c r="P6" s="9"/>
      <c r="Q6" s="9"/>
      <c r="R6" s="9"/>
    </row>
    <row r="7" spans="1:18" ht="15.75" x14ac:dyDescent="0.25">
      <c r="A7" s="17"/>
      <c r="B7" s="18"/>
      <c r="C7" s="18"/>
      <c r="D7" s="17"/>
      <c r="E7" s="17"/>
      <c r="F7" s="12"/>
      <c r="G7" s="14"/>
      <c r="H7" s="17"/>
      <c r="I7" s="17"/>
      <c r="J7" s="17"/>
      <c r="K7" s="17"/>
      <c r="L7" s="17"/>
      <c r="M7" s="9"/>
      <c r="N7" s="9"/>
      <c r="O7" s="9"/>
      <c r="P7" s="9"/>
      <c r="Q7" s="9"/>
      <c r="R7" s="9"/>
    </row>
    <row r="8" spans="1:18" ht="15" customHeight="1" x14ac:dyDescent="0.25">
      <c r="A8" s="19" t="s">
        <v>4</v>
      </c>
      <c r="B8" s="20" t="s">
        <v>5</v>
      </c>
      <c r="C8" s="26"/>
      <c r="D8" s="19"/>
      <c r="E8" s="26"/>
      <c r="F8" s="21"/>
      <c r="G8" s="22"/>
      <c r="H8" s="19" t="s">
        <v>6</v>
      </c>
      <c r="I8" s="19"/>
      <c r="J8" s="23"/>
      <c r="K8" s="20" t="s">
        <v>5</v>
      </c>
      <c r="L8" s="136"/>
    </row>
    <row r="9" spans="1:18" ht="15.75" x14ac:dyDescent="0.25">
      <c r="A9" s="19" t="s">
        <v>86</v>
      </c>
      <c r="B9" s="20" t="s">
        <v>5</v>
      </c>
      <c r="C9" s="190"/>
      <c r="D9" s="190"/>
      <c r="E9" s="190"/>
      <c r="F9" s="22"/>
      <c r="G9" s="22"/>
      <c r="H9" s="19" t="s">
        <v>7</v>
      </c>
      <c r="I9" s="19"/>
      <c r="J9" s="23"/>
      <c r="K9" s="20" t="s">
        <v>5</v>
      </c>
      <c r="L9" s="137"/>
      <c r="M9" s="144" t="s">
        <v>100</v>
      </c>
      <c r="N9" s="9"/>
      <c r="O9" s="24"/>
      <c r="P9" s="146" t="str">
        <f>":   "&amp;C8</f>
        <v xml:space="preserve">:   </v>
      </c>
    </row>
    <row r="10" spans="1:18" ht="15" customHeight="1" x14ac:dyDescent="0.25">
      <c r="A10" s="19" t="s">
        <v>8</v>
      </c>
      <c r="B10" s="20" t="s">
        <v>5</v>
      </c>
      <c r="C10" s="26"/>
      <c r="D10" s="19"/>
      <c r="E10" s="19"/>
      <c r="F10" s="21"/>
      <c r="G10" s="22"/>
      <c r="H10" s="19" t="s">
        <v>9</v>
      </c>
      <c r="I10" s="19"/>
      <c r="J10" s="19"/>
      <c r="K10" s="20" t="s">
        <v>5</v>
      </c>
      <c r="L10" s="25" t="s">
        <v>10</v>
      </c>
      <c r="M10" s="144" t="s">
        <v>101</v>
      </c>
      <c r="N10" s="9"/>
      <c r="O10" s="24"/>
      <c r="P10" s="146" t="str">
        <f>":   "&amp;C10</f>
        <v xml:space="preserve">:   </v>
      </c>
    </row>
    <row r="11" spans="1:18" ht="15" customHeight="1" x14ac:dyDescent="0.25">
      <c r="A11" s="19" t="s">
        <v>11</v>
      </c>
      <c r="B11" s="20" t="s">
        <v>5</v>
      </c>
      <c r="C11" s="26"/>
      <c r="D11" s="19"/>
      <c r="E11" s="19"/>
      <c r="F11" s="22"/>
      <c r="G11" s="22"/>
      <c r="H11" s="19" t="s">
        <v>12</v>
      </c>
      <c r="I11" s="19"/>
      <c r="J11" s="23"/>
      <c r="K11" s="20" t="s">
        <v>5</v>
      </c>
      <c r="L11" s="138"/>
      <c r="M11" s="144" t="s">
        <v>109</v>
      </c>
      <c r="N11" s="9"/>
      <c r="O11" s="24"/>
      <c r="P11" s="146" t="str">
        <f>":   "&amp;C11</f>
        <v xml:space="preserve">:   </v>
      </c>
    </row>
    <row r="12" spans="1:18" ht="15.75" x14ac:dyDescent="0.25">
      <c r="A12" s="19" t="s">
        <v>13</v>
      </c>
      <c r="B12" s="21" t="s">
        <v>5</v>
      </c>
      <c r="C12" s="26"/>
      <c r="D12" s="19"/>
      <c r="E12" s="21"/>
      <c r="F12" s="22"/>
      <c r="G12" s="21"/>
      <c r="H12" s="19" t="s">
        <v>14</v>
      </c>
      <c r="I12" s="19"/>
      <c r="J12" s="23"/>
      <c r="K12" s="20" t="s">
        <v>5</v>
      </c>
      <c r="L12" s="138"/>
      <c r="M12" s="145" t="s">
        <v>110</v>
      </c>
      <c r="N12" s="16"/>
      <c r="O12" s="24"/>
      <c r="P12" s="146" t="str">
        <f>":   "&amp;A5</f>
        <v xml:space="preserve">:   </v>
      </c>
    </row>
    <row r="13" spans="1:18" x14ac:dyDescent="0.25">
      <c r="A13" s="19"/>
      <c r="B13" s="21"/>
      <c r="C13" s="26"/>
      <c r="D13" s="19"/>
      <c r="E13" s="21"/>
      <c r="F13" s="22"/>
      <c r="G13" s="21"/>
      <c r="H13" s="19"/>
      <c r="I13" s="19"/>
      <c r="J13" s="23"/>
      <c r="K13" s="20"/>
      <c r="L13" s="26"/>
    </row>
    <row r="14" spans="1:18" ht="15.75" thickBot="1" x14ac:dyDescent="0.3">
      <c r="A14" s="17"/>
      <c r="B14" s="18"/>
      <c r="C14" s="18"/>
      <c r="D14" s="17"/>
      <c r="E14" s="17"/>
      <c r="F14" s="14"/>
      <c r="G14" s="14"/>
      <c r="H14" s="17"/>
      <c r="I14" s="27"/>
      <c r="J14" s="17"/>
      <c r="K14" s="12"/>
      <c r="L14" s="26"/>
    </row>
    <row r="15" spans="1:18" ht="15" customHeight="1" x14ac:dyDescent="0.25">
      <c r="A15" s="28" t="s">
        <v>15</v>
      </c>
      <c r="B15" s="175" t="s">
        <v>16</v>
      </c>
      <c r="C15" s="175"/>
      <c r="D15" s="177" t="s">
        <v>17</v>
      </c>
      <c r="E15" s="178"/>
      <c r="F15" s="178" t="s">
        <v>18</v>
      </c>
      <c r="G15" s="183" t="s">
        <v>19</v>
      </c>
      <c r="H15" s="183"/>
      <c r="I15" s="183"/>
      <c r="J15" s="183"/>
      <c r="K15" s="184"/>
      <c r="L15" s="164" t="s">
        <v>20</v>
      </c>
      <c r="M15" s="167" t="s">
        <v>59</v>
      </c>
      <c r="N15" s="170" t="s">
        <v>60</v>
      </c>
      <c r="O15" s="171"/>
      <c r="P15" s="167" t="s">
        <v>61</v>
      </c>
      <c r="Q15" s="191" t="s">
        <v>62</v>
      </c>
      <c r="R15" s="167" t="s">
        <v>20</v>
      </c>
    </row>
    <row r="16" spans="1:18" ht="15.75" thickBot="1" x14ac:dyDescent="0.3">
      <c r="A16" s="29" t="s">
        <v>21</v>
      </c>
      <c r="B16" s="176"/>
      <c r="C16" s="176"/>
      <c r="D16" s="179"/>
      <c r="E16" s="180"/>
      <c r="F16" s="181"/>
      <c r="G16" s="185"/>
      <c r="H16" s="185"/>
      <c r="I16" s="185"/>
      <c r="J16" s="185"/>
      <c r="K16" s="186"/>
      <c r="L16" s="165"/>
      <c r="M16" s="168"/>
      <c r="N16" s="172"/>
      <c r="O16" s="173"/>
      <c r="P16" s="168"/>
      <c r="Q16" s="192"/>
      <c r="R16" s="168"/>
    </row>
    <row r="17" spans="1:18" ht="15.75" thickBot="1" x14ac:dyDescent="0.3">
      <c r="A17" s="30" t="s">
        <v>22</v>
      </c>
      <c r="B17" s="31" t="s">
        <v>23</v>
      </c>
      <c r="C17" s="32" t="s">
        <v>24</v>
      </c>
      <c r="D17" s="33" t="s">
        <v>23</v>
      </c>
      <c r="E17" s="34" t="s">
        <v>24</v>
      </c>
      <c r="F17" s="182"/>
      <c r="G17" s="35" t="s">
        <v>25</v>
      </c>
      <c r="H17" s="36">
        <v>1.25</v>
      </c>
      <c r="I17" s="36" t="s">
        <v>26</v>
      </c>
      <c r="J17" s="36" t="s">
        <v>27</v>
      </c>
      <c r="K17" s="37">
        <v>2</v>
      </c>
      <c r="L17" s="166"/>
      <c r="M17" s="169"/>
      <c r="N17" s="38" t="s">
        <v>23</v>
      </c>
      <c r="O17" s="38" t="s">
        <v>24</v>
      </c>
      <c r="P17" s="169"/>
      <c r="Q17" s="193"/>
      <c r="R17" s="169"/>
    </row>
    <row r="18" spans="1:18" ht="15" customHeight="1" x14ac:dyDescent="0.25">
      <c r="A18" s="202"/>
      <c r="B18" s="185"/>
      <c r="C18" s="185"/>
      <c r="D18" s="185"/>
      <c r="E18" s="203"/>
      <c r="F18" s="207"/>
      <c r="G18" s="162"/>
      <c r="H18" s="162">
        <f>F18</f>
        <v>0</v>
      </c>
      <c r="I18" s="162"/>
      <c r="J18" s="162"/>
      <c r="K18" s="196"/>
      <c r="L18" s="198" t="s">
        <v>107</v>
      </c>
      <c r="M18" s="147"/>
      <c r="N18" s="215"/>
      <c r="O18" s="216"/>
      <c r="P18" s="151"/>
      <c r="Q18" s="153"/>
      <c r="R18" s="155" t="s">
        <v>111</v>
      </c>
    </row>
    <row r="19" spans="1:18" ht="15" customHeight="1" x14ac:dyDescent="0.25">
      <c r="A19" s="204"/>
      <c r="B19" s="205"/>
      <c r="C19" s="205"/>
      <c r="D19" s="205"/>
      <c r="E19" s="206"/>
      <c r="F19" s="208"/>
      <c r="G19" s="163"/>
      <c r="H19" s="163"/>
      <c r="I19" s="163"/>
      <c r="J19" s="163"/>
      <c r="K19" s="197"/>
      <c r="L19" s="199"/>
      <c r="M19" s="148"/>
      <c r="N19" s="213"/>
      <c r="O19" s="214"/>
      <c r="P19" s="152"/>
      <c r="Q19" s="154"/>
      <c r="R19" s="156"/>
    </row>
    <row r="20" spans="1:18" ht="15" customHeight="1" x14ac:dyDescent="0.25">
      <c r="A20" s="142"/>
      <c r="B20" s="195"/>
      <c r="C20" s="195"/>
      <c r="D20" s="211"/>
      <c r="E20" s="212"/>
      <c r="F20" s="139"/>
      <c r="G20" s="129"/>
      <c r="H20" s="129"/>
      <c r="I20" s="129"/>
      <c r="J20" s="129"/>
      <c r="K20" s="129"/>
      <c r="L20" s="200"/>
      <c r="M20" s="147" t="str">
        <f>IF(ISBLANK(A20),"",A20)</f>
        <v/>
      </c>
      <c r="N20" s="215" t="str">
        <f>IF(ISBLANK(D20),"",D20)</f>
        <v/>
      </c>
      <c r="O20" s="216"/>
      <c r="P20" s="157"/>
      <c r="Q20" s="159"/>
      <c r="R20" s="149"/>
    </row>
    <row r="21" spans="1:18" ht="15" customHeight="1" x14ac:dyDescent="0.25">
      <c r="A21" s="1" t="str">
        <f t="shared" ref="A21" si="0">IF(A20="","",UPPER(TEXT(A20,"[$-043E]DDDD")))</f>
        <v/>
      </c>
      <c r="B21" s="195"/>
      <c r="C21" s="195"/>
      <c r="D21" s="209"/>
      <c r="E21" s="210"/>
      <c r="F21" s="141"/>
      <c r="G21" s="127"/>
      <c r="H21" s="127"/>
      <c r="I21" s="127"/>
      <c r="J21" s="127"/>
      <c r="K21" s="128"/>
      <c r="L21" s="200"/>
      <c r="M21" s="148" t="str">
        <f>A21</f>
        <v/>
      </c>
      <c r="N21" s="213" t="str">
        <f>IF(ISBLANK(D21),"",D21)</f>
        <v/>
      </c>
      <c r="O21" s="214"/>
      <c r="P21" s="157"/>
      <c r="Q21" s="159"/>
      <c r="R21" s="150"/>
    </row>
    <row r="22" spans="1:18" ht="15" customHeight="1" x14ac:dyDescent="0.25">
      <c r="A22" s="134"/>
      <c r="B22" s="194"/>
      <c r="C22" s="194"/>
      <c r="D22" s="211"/>
      <c r="E22" s="212"/>
      <c r="F22" s="139"/>
      <c r="G22" s="129"/>
      <c r="H22" s="129"/>
      <c r="I22" s="129"/>
      <c r="J22" s="129"/>
      <c r="K22" s="129"/>
      <c r="L22" s="200"/>
      <c r="M22" s="147" t="str">
        <f t="shared" ref="M22" si="1">IF(ISBLANK(A22),"",A22)</f>
        <v/>
      </c>
      <c r="N22" s="215" t="str">
        <f t="shared" ref="N22:N53" si="2">IF(ISBLANK(D22),"",D22)</f>
        <v/>
      </c>
      <c r="O22" s="216"/>
      <c r="P22" s="157"/>
      <c r="Q22" s="159"/>
      <c r="R22" s="149"/>
    </row>
    <row r="23" spans="1:18" ht="15" customHeight="1" x14ac:dyDescent="0.25">
      <c r="A23" s="1" t="str">
        <f t="shared" ref="A23:A25" si="3">IF(A22="","",UPPER(TEXT(A22,"[$-043E]DDDD")))</f>
        <v/>
      </c>
      <c r="B23" s="195"/>
      <c r="C23" s="195"/>
      <c r="D23" s="209"/>
      <c r="E23" s="210"/>
      <c r="F23" s="141"/>
      <c r="G23" s="127"/>
      <c r="H23" s="127"/>
      <c r="I23" s="127"/>
      <c r="J23" s="127"/>
      <c r="K23" s="128"/>
      <c r="L23" s="200"/>
      <c r="M23" s="148" t="str">
        <f t="shared" ref="M23" si="4">A23</f>
        <v/>
      </c>
      <c r="N23" s="213" t="str">
        <f t="shared" si="2"/>
        <v/>
      </c>
      <c r="O23" s="214"/>
      <c r="P23" s="157"/>
      <c r="Q23" s="159"/>
      <c r="R23" s="150"/>
    </row>
    <row r="24" spans="1:18" ht="15" customHeight="1" x14ac:dyDescent="0.25">
      <c r="A24" s="134"/>
      <c r="B24" s="194"/>
      <c r="C24" s="194"/>
      <c r="D24" s="211"/>
      <c r="E24" s="212"/>
      <c r="F24" s="139"/>
      <c r="G24" s="129"/>
      <c r="H24" s="129"/>
      <c r="I24" s="129"/>
      <c r="J24" s="129"/>
      <c r="K24" s="129"/>
      <c r="L24" s="200"/>
      <c r="M24" s="147" t="str">
        <f t="shared" ref="M24" si="5">IF(ISBLANK(A24),"",A24)</f>
        <v/>
      </c>
      <c r="N24" s="215" t="str">
        <f t="shared" si="2"/>
        <v/>
      </c>
      <c r="O24" s="216"/>
      <c r="P24" s="157"/>
      <c r="Q24" s="159"/>
      <c r="R24" s="149"/>
    </row>
    <row r="25" spans="1:18" ht="15" customHeight="1" x14ac:dyDescent="0.25">
      <c r="A25" s="1" t="str">
        <f t="shared" si="3"/>
        <v/>
      </c>
      <c r="B25" s="195"/>
      <c r="C25" s="195"/>
      <c r="D25" s="209"/>
      <c r="E25" s="210"/>
      <c r="F25" s="141"/>
      <c r="G25" s="127"/>
      <c r="H25" s="127"/>
      <c r="I25" s="127"/>
      <c r="J25" s="127"/>
      <c r="K25" s="128"/>
      <c r="L25" s="200"/>
      <c r="M25" s="148" t="str">
        <f t="shared" ref="M25" si="6">A25</f>
        <v/>
      </c>
      <c r="N25" s="213" t="str">
        <f t="shared" si="2"/>
        <v/>
      </c>
      <c r="O25" s="214"/>
      <c r="P25" s="157"/>
      <c r="Q25" s="159"/>
      <c r="R25" s="150"/>
    </row>
    <row r="26" spans="1:18" ht="15" customHeight="1" x14ac:dyDescent="0.25">
      <c r="A26" s="134"/>
      <c r="B26" s="194"/>
      <c r="C26" s="194"/>
      <c r="D26" s="211"/>
      <c r="E26" s="212"/>
      <c r="F26" s="139"/>
      <c r="G26" s="129"/>
      <c r="H26" s="129"/>
      <c r="I26" s="129"/>
      <c r="J26" s="129"/>
      <c r="K26" s="129"/>
      <c r="L26" s="200"/>
      <c r="M26" s="147" t="str">
        <f t="shared" ref="M26" si="7">IF(ISBLANK(A26),"",A26)</f>
        <v/>
      </c>
      <c r="N26" s="215" t="str">
        <f t="shared" si="2"/>
        <v/>
      </c>
      <c r="O26" s="216"/>
      <c r="P26" s="157"/>
      <c r="Q26" s="159"/>
      <c r="R26" s="149"/>
    </row>
    <row r="27" spans="1:18" ht="15" customHeight="1" x14ac:dyDescent="0.25">
      <c r="A27" s="1" t="str">
        <f t="shared" ref="A27" si="8">IF(A26="","",UPPER(TEXT(A26,"[$-043E]DDDD")))</f>
        <v/>
      </c>
      <c r="B27" s="195"/>
      <c r="C27" s="195"/>
      <c r="D27" s="209"/>
      <c r="E27" s="210"/>
      <c r="F27" s="141"/>
      <c r="G27" s="127"/>
      <c r="H27" s="127"/>
      <c r="I27" s="127"/>
      <c r="J27" s="127"/>
      <c r="K27" s="128"/>
      <c r="L27" s="200"/>
      <c r="M27" s="148" t="str">
        <f t="shared" ref="M27" si="9">A27</f>
        <v/>
      </c>
      <c r="N27" s="213" t="str">
        <f t="shared" si="2"/>
        <v/>
      </c>
      <c r="O27" s="214"/>
      <c r="P27" s="157"/>
      <c r="Q27" s="159"/>
      <c r="R27" s="150"/>
    </row>
    <row r="28" spans="1:18" ht="15" customHeight="1" x14ac:dyDescent="0.25">
      <c r="A28" s="135"/>
      <c r="B28" s="194"/>
      <c r="C28" s="194"/>
      <c r="D28" s="211"/>
      <c r="E28" s="212"/>
      <c r="F28" s="139"/>
      <c r="G28" s="129"/>
      <c r="H28" s="129"/>
      <c r="I28" s="129"/>
      <c r="J28" s="129"/>
      <c r="K28" s="129"/>
      <c r="L28" s="200"/>
      <c r="M28" s="147" t="str">
        <f t="shared" ref="M28" si="10">IF(ISBLANK(A28),"",A28)</f>
        <v/>
      </c>
      <c r="N28" s="215" t="str">
        <f t="shared" si="2"/>
        <v/>
      </c>
      <c r="O28" s="216"/>
      <c r="P28" s="157"/>
      <c r="Q28" s="159"/>
      <c r="R28" s="149"/>
    </row>
    <row r="29" spans="1:18" ht="15" customHeight="1" x14ac:dyDescent="0.25">
      <c r="A29" s="6" t="str">
        <f t="shared" ref="A29" si="11">IF(A28="","",UPPER(TEXT(A28,"[$-043E]DDDD")))</f>
        <v/>
      </c>
      <c r="B29" s="195"/>
      <c r="C29" s="195"/>
      <c r="D29" s="209"/>
      <c r="E29" s="210"/>
      <c r="F29" s="141"/>
      <c r="G29" s="127"/>
      <c r="H29" s="127"/>
      <c r="I29" s="127"/>
      <c r="J29" s="129"/>
      <c r="K29" s="128"/>
      <c r="L29" s="200"/>
      <c r="M29" s="148" t="str">
        <f t="shared" ref="M29" si="12">A29</f>
        <v/>
      </c>
      <c r="N29" s="213" t="str">
        <f t="shared" si="2"/>
        <v/>
      </c>
      <c r="O29" s="214"/>
      <c r="P29" s="157"/>
      <c r="Q29" s="159"/>
      <c r="R29" s="150"/>
    </row>
    <row r="30" spans="1:18" ht="15" customHeight="1" x14ac:dyDescent="0.25">
      <c r="A30" s="134"/>
      <c r="B30" s="194"/>
      <c r="C30" s="194"/>
      <c r="D30" s="211"/>
      <c r="E30" s="212"/>
      <c r="F30" s="139"/>
      <c r="G30" s="129"/>
      <c r="H30" s="129"/>
      <c r="I30" s="140"/>
      <c r="J30" s="143"/>
      <c r="K30" s="139"/>
      <c r="L30" s="200"/>
      <c r="M30" s="147" t="str">
        <f t="shared" ref="M30" si="13">IF(ISBLANK(A30),"",A30)</f>
        <v/>
      </c>
      <c r="N30" s="215" t="str">
        <f t="shared" si="2"/>
        <v/>
      </c>
      <c r="O30" s="216"/>
      <c r="P30" s="157"/>
      <c r="Q30" s="159"/>
      <c r="R30" s="149"/>
    </row>
    <row r="31" spans="1:18" ht="15" customHeight="1" x14ac:dyDescent="0.25">
      <c r="A31" s="1" t="str">
        <f t="shared" ref="A31" si="14">IF(A30="","",UPPER(TEXT(A30,"[$-043E]DDDD")))</f>
        <v/>
      </c>
      <c r="B31" s="195"/>
      <c r="C31" s="195"/>
      <c r="D31" s="209"/>
      <c r="E31" s="210"/>
      <c r="F31" s="141"/>
      <c r="G31" s="127"/>
      <c r="H31" s="127"/>
      <c r="I31" s="127"/>
      <c r="J31" s="127"/>
      <c r="K31" s="128"/>
      <c r="L31" s="200"/>
      <c r="M31" s="148" t="str">
        <f t="shared" ref="M31" si="15">A31</f>
        <v/>
      </c>
      <c r="N31" s="213" t="str">
        <f t="shared" si="2"/>
        <v/>
      </c>
      <c r="O31" s="214"/>
      <c r="P31" s="157"/>
      <c r="Q31" s="159"/>
      <c r="R31" s="150"/>
    </row>
    <row r="32" spans="1:18" ht="15" customHeight="1" x14ac:dyDescent="0.25">
      <c r="A32" s="134"/>
      <c r="B32" s="194"/>
      <c r="C32" s="194"/>
      <c r="D32" s="211"/>
      <c r="E32" s="212"/>
      <c r="F32" s="139"/>
      <c r="G32" s="129"/>
      <c r="H32" s="129"/>
      <c r="I32" s="129"/>
      <c r="J32" s="129"/>
      <c r="K32" s="129"/>
      <c r="L32" s="200"/>
      <c r="M32" s="147" t="str">
        <f t="shared" ref="M32" si="16">IF(ISBLANK(A32),"",A32)</f>
        <v/>
      </c>
      <c r="N32" s="215" t="str">
        <f t="shared" si="2"/>
        <v/>
      </c>
      <c r="O32" s="216"/>
      <c r="P32" s="157"/>
      <c r="Q32" s="159"/>
      <c r="R32" s="149"/>
    </row>
    <row r="33" spans="1:18" ht="15" customHeight="1" x14ac:dyDescent="0.25">
      <c r="A33" s="1" t="str">
        <f t="shared" ref="A33" si="17">IF(A32="","",UPPER(TEXT(A32,"[$-043E]DDDD")))</f>
        <v/>
      </c>
      <c r="B33" s="195"/>
      <c r="C33" s="195"/>
      <c r="D33" s="209"/>
      <c r="E33" s="210"/>
      <c r="F33" s="141"/>
      <c r="G33" s="127"/>
      <c r="H33" s="127"/>
      <c r="I33" s="127"/>
      <c r="J33" s="127"/>
      <c r="K33" s="128"/>
      <c r="L33" s="200"/>
      <c r="M33" s="148" t="str">
        <f t="shared" ref="M33" si="18">A33</f>
        <v/>
      </c>
      <c r="N33" s="213" t="str">
        <f t="shared" si="2"/>
        <v/>
      </c>
      <c r="O33" s="214"/>
      <c r="P33" s="157"/>
      <c r="Q33" s="159"/>
      <c r="R33" s="150"/>
    </row>
    <row r="34" spans="1:18" ht="15" customHeight="1" x14ac:dyDescent="0.25">
      <c r="A34" s="134"/>
      <c r="B34" s="194"/>
      <c r="C34" s="194"/>
      <c r="D34" s="211"/>
      <c r="E34" s="212"/>
      <c r="F34" s="139"/>
      <c r="G34" s="129"/>
      <c r="H34" s="129"/>
      <c r="I34" s="129"/>
      <c r="J34" s="129"/>
      <c r="K34" s="129"/>
      <c r="L34" s="200"/>
      <c r="M34" s="147" t="str">
        <f t="shared" ref="M34" si="19">IF(ISBLANK(A34),"",A34)</f>
        <v/>
      </c>
      <c r="N34" s="215" t="str">
        <f t="shared" si="2"/>
        <v/>
      </c>
      <c r="O34" s="216"/>
      <c r="P34" s="157"/>
      <c r="Q34" s="159"/>
      <c r="R34" s="149"/>
    </row>
    <row r="35" spans="1:18" ht="15" customHeight="1" x14ac:dyDescent="0.25">
      <c r="A35" s="1" t="str">
        <f t="shared" ref="A35" si="20">IF(A34="","",UPPER(TEXT(A34,"[$-043E]DDDD")))</f>
        <v/>
      </c>
      <c r="B35" s="195"/>
      <c r="C35" s="195"/>
      <c r="D35" s="209"/>
      <c r="E35" s="210"/>
      <c r="F35" s="141"/>
      <c r="G35" s="127"/>
      <c r="H35" s="127"/>
      <c r="I35" s="127"/>
      <c r="J35" s="127"/>
      <c r="K35" s="128"/>
      <c r="L35" s="200"/>
      <c r="M35" s="148" t="str">
        <f t="shared" ref="M35" si="21">A35</f>
        <v/>
      </c>
      <c r="N35" s="213" t="str">
        <f t="shared" si="2"/>
        <v/>
      </c>
      <c r="O35" s="214"/>
      <c r="P35" s="157"/>
      <c r="Q35" s="159"/>
      <c r="R35" s="150"/>
    </row>
    <row r="36" spans="1:18" ht="15" customHeight="1" x14ac:dyDescent="0.25">
      <c r="A36" s="134"/>
      <c r="B36" s="194"/>
      <c r="C36" s="194"/>
      <c r="D36" s="211"/>
      <c r="E36" s="212"/>
      <c r="F36" s="139"/>
      <c r="G36" s="129"/>
      <c r="H36" s="129"/>
      <c r="I36" s="129"/>
      <c r="J36" s="129"/>
      <c r="K36" s="129"/>
      <c r="L36" s="200"/>
      <c r="M36" s="147" t="str">
        <f t="shared" ref="M36" si="22">IF(ISBLANK(A36),"",A36)</f>
        <v/>
      </c>
      <c r="N36" s="215" t="str">
        <f t="shared" si="2"/>
        <v/>
      </c>
      <c r="O36" s="216"/>
      <c r="P36" s="157"/>
      <c r="Q36" s="159"/>
      <c r="R36" s="149"/>
    </row>
    <row r="37" spans="1:18" ht="15" customHeight="1" x14ac:dyDescent="0.25">
      <c r="A37" s="1" t="str">
        <f t="shared" ref="A37" si="23">IF(A36="","",UPPER(TEXT(A36,"[$-043E]DDDD")))</f>
        <v/>
      </c>
      <c r="B37" s="195"/>
      <c r="C37" s="195"/>
      <c r="D37" s="209"/>
      <c r="E37" s="210"/>
      <c r="F37" s="141"/>
      <c r="G37" s="127"/>
      <c r="H37" s="127"/>
      <c r="I37" s="127"/>
      <c r="J37" s="127"/>
      <c r="K37" s="128"/>
      <c r="L37" s="200"/>
      <c r="M37" s="148" t="str">
        <f t="shared" ref="M37" si="24">A37</f>
        <v/>
      </c>
      <c r="N37" s="213" t="str">
        <f t="shared" si="2"/>
        <v/>
      </c>
      <c r="O37" s="214"/>
      <c r="P37" s="157"/>
      <c r="Q37" s="159"/>
      <c r="R37" s="150"/>
    </row>
    <row r="38" spans="1:18" ht="15" customHeight="1" x14ac:dyDescent="0.25">
      <c r="A38" s="134"/>
      <c r="B38" s="194"/>
      <c r="C38" s="194"/>
      <c r="D38" s="211"/>
      <c r="E38" s="212"/>
      <c r="F38" s="139"/>
      <c r="G38" s="129"/>
      <c r="H38" s="129"/>
      <c r="I38" s="129"/>
      <c r="J38" s="129"/>
      <c r="K38" s="129"/>
      <c r="L38" s="200"/>
      <c r="M38" s="147" t="str">
        <f t="shared" ref="M38" si="25">IF(ISBLANK(A38),"",A38)</f>
        <v/>
      </c>
      <c r="N38" s="215" t="str">
        <f t="shared" si="2"/>
        <v/>
      </c>
      <c r="O38" s="216"/>
      <c r="P38" s="157"/>
      <c r="Q38" s="159"/>
      <c r="R38" s="149"/>
    </row>
    <row r="39" spans="1:18" ht="15" customHeight="1" x14ac:dyDescent="0.25">
      <c r="A39" s="1" t="str">
        <f t="shared" ref="A39" si="26">IF(A38="","",UPPER(TEXT(A38,"[$-043E]DDDD")))</f>
        <v/>
      </c>
      <c r="B39" s="195"/>
      <c r="C39" s="195"/>
      <c r="D39" s="209"/>
      <c r="E39" s="210"/>
      <c r="F39" s="141"/>
      <c r="G39" s="127"/>
      <c r="H39" s="127"/>
      <c r="I39" s="127"/>
      <c r="J39" s="127"/>
      <c r="K39" s="128"/>
      <c r="L39" s="200"/>
      <c r="M39" s="148" t="str">
        <f t="shared" ref="M39" si="27">A39</f>
        <v/>
      </c>
      <c r="N39" s="213" t="str">
        <f t="shared" si="2"/>
        <v/>
      </c>
      <c r="O39" s="214"/>
      <c r="P39" s="157"/>
      <c r="Q39" s="159"/>
      <c r="R39" s="150"/>
    </row>
    <row r="40" spans="1:18" ht="15" customHeight="1" x14ac:dyDescent="0.25">
      <c r="A40" s="134"/>
      <c r="B40" s="194"/>
      <c r="C40" s="194"/>
      <c r="D40" s="211"/>
      <c r="E40" s="212"/>
      <c r="F40" s="139"/>
      <c r="G40" s="129"/>
      <c r="H40" s="129"/>
      <c r="I40" s="129"/>
      <c r="J40" s="129"/>
      <c r="K40" s="129"/>
      <c r="L40" s="200"/>
      <c r="M40" s="147" t="str">
        <f t="shared" ref="M40" si="28">IF(ISBLANK(A40),"",A40)</f>
        <v/>
      </c>
      <c r="N40" s="215" t="str">
        <f t="shared" si="2"/>
        <v/>
      </c>
      <c r="O40" s="216"/>
      <c r="P40" s="157"/>
      <c r="Q40" s="159"/>
      <c r="R40" s="149"/>
    </row>
    <row r="41" spans="1:18" ht="15" customHeight="1" x14ac:dyDescent="0.25">
      <c r="A41" s="1" t="str">
        <f t="shared" ref="A41" si="29">IF(A40="","",UPPER(TEXT(A40,"[$-043E]DDDD")))</f>
        <v/>
      </c>
      <c r="B41" s="195"/>
      <c r="C41" s="195"/>
      <c r="D41" s="209"/>
      <c r="E41" s="210"/>
      <c r="F41" s="141"/>
      <c r="G41" s="127"/>
      <c r="H41" s="127"/>
      <c r="I41" s="127"/>
      <c r="J41" s="127"/>
      <c r="K41" s="128"/>
      <c r="L41" s="200"/>
      <c r="M41" s="148" t="str">
        <f t="shared" ref="M41" si="30">A41</f>
        <v/>
      </c>
      <c r="N41" s="213" t="str">
        <f t="shared" si="2"/>
        <v/>
      </c>
      <c r="O41" s="214"/>
      <c r="P41" s="157"/>
      <c r="Q41" s="159"/>
      <c r="R41" s="150"/>
    </row>
    <row r="42" spans="1:18" ht="15" customHeight="1" x14ac:dyDescent="0.25">
      <c r="A42" s="134"/>
      <c r="B42" s="194"/>
      <c r="C42" s="194"/>
      <c r="D42" s="211"/>
      <c r="E42" s="212"/>
      <c r="F42" s="139"/>
      <c r="G42" s="129"/>
      <c r="H42" s="129"/>
      <c r="I42" s="129"/>
      <c r="J42" s="129"/>
      <c r="K42" s="129"/>
      <c r="L42" s="200"/>
      <c r="M42" s="147" t="str">
        <f t="shared" ref="M42" si="31">IF(ISBLANK(A42),"",A42)</f>
        <v/>
      </c>
      <c r="N42" s="215" t="str">
        <f t="shared" si="2"/>
        <v/>
      </c>
      <c r="O42" s="216"/>
      <c r="P42" s="157"/>
      <c r="Q42" s="159"/>
      <c r="R42" s="149"/>
    </row>
    <row r="43" spans="1:18" ht="15" customHeight="1" x14ac:dyDescent="0.25">
      <c r="A43" s="1" t="str">
        <f t="shared" ref="A43" si="32">IF(A42="","",UPPER(TEXT(A42,"[$-043E]DDDD")))</f>
        <v/>
      </c>
      <c r="B43" s="195"/>
      <c r="C43" s="195"/>
      <c r="D43" s="209"/>
      <c r="E43" s="210"/>
      <c r="F43" s="141"/>
      <c r="G43" s="127"/>
      <c r="H43" s="127"/>
      <c r="I43" s="127"/>
      <c r="J43" s="127"/>
      <c r="K43" s="128"/>
      <c r="L43" s="200"/>
      <c r="M43" s="148" t="str">
        <f t="shared" ref="M43" si="33">A43</f>
        <v/>
      </c>
      <c r="N43" s="213" t="str">
        <f t="shared" si="2"/>
        <v/>
      </c>
      <c r="O43" s="214"/>
      <c r="P43" s="157"/>
      <c r="Q43" s="159"/>
      <c r="R43" s="150"/>
    </row>
    <row r="44" spans="1:18" ht="15" customHeight="1" x14ac:dyDescent="0.25">
      <c r="A44" s="134"/>
      <c r="B44" s="194"/>
      <c r="C44" s="194"/>
      <c r="D44" s="211"/>
      <c r="E44" s="212"/>
      <c r="F44" s="139"/>
      <c r="G44" s="129"/>
      <c r="H44" s="129"/>
      <c r="I44" s="129"/>
      <c r="J44" s="129"/>
      <c r="K44" s="129"/>
      <c r="L44" s="200"/>
      <c r="M44" s="147" t="str">
        <f t="shared" ref="M44" si="34">IF(ISBLANK(A44),"",A44)</f>
        <v/>
      </c>
      <c r="N44" s="215" t="str">
        <f t="shared" si="2"/>
        <v/>
      </c>
      <c r="O44" s="216"/>
      <c r="P44" s="157"/>
      <c r="Q44" s="159"/>
      <c r="R44" s="149"/>
    </row>
    <row r="45" spans="1:18" ht="15" customHeight="1" x14ac:dyDescent="0.25">
      <c r="A45" s="1" t="str">
        <f t="shared" ref="A45" si="35">IF(A44="","",UPPER(TEXT(A44,"[$-043E]DDDD")))</f>
        <v/>
      </c>
      <c r="B45" s="195"/>
      <c r="C45" s="195"/>
      <c r="D45" s="209"/>
      <c r="E45" s="210"/>
      <c r="F45" s="141"/>
      <c r="G45" s="127"/>
      <c r="H45" s="127"/>
      <c r="I45" s="127"/>
      <c r="J45" s="127"/>
      <c r="K45" s="128"/>
      <c r="L45" s="200"/>
      <c r="M45" s="148" t="str">
        <f t="shared" ref="M45" si="36">A45</f>
        <v/>
      </c>
      <c r="N45" s="213" t="str">
        <f t="shared" si="2"/>
        <v/>
      </c>
      <c r="O45" s="214"/>
      <c r="P45" s="157"/>
      <c r="Q45" s="159"/>
      <c r="R45" s="150"/>
    </row>
    <row r="46" spans="1:18" ht="15" customHeight="1" x14ac:dyDescent="0.25">
      <c r="A46" s="134"/>
      <c r="B46" s="194"/>
      <c r="C46" s="194"/>
      <c r="D46" s="211"/>
      <c r="E46" s="212"/>
      <c r="F46" s="139"/>
      <c r="G46" s="129"/>
      <c r="H46" s="129"/>
      <c r="I46" s="129"/>
      <c r="J46" s="129"/>
      <c r="K46" s="129"/>
      <c r="L46" s="200"/>
      <c r="M46" s="147" t="str">
        <f t="shared" ref="M46" si="37">IF(ISBLANK(A46),"",A46)</f>
        <v/>
      </c>
      <c r="N46" s="215" t="str">
        <f t="shared" si="2"/>
        <v/>
      </c>
      <c r="O46" s="216"/>
      <c r="P46" s="157"/>
      <c r="Q46" s="159"/>
      <c r="R46" s="149"/>
    </row>
    <row r="47" spans="1:18" ht="15" customHeight="1" x14ac:dyDescent="0.25">
      <c r="A47" s="1" t="str">
        <f t="shared" ref="A47" si="38">IF(A46="","",UPPER(TEXT(A46,"[$-043E]DDDD")))</f>
        <v/>
      </c>
      <c r="B47" s="195"/>
      <c r="C47" s="195"/>
      <c r="D47" s="209"/>
      <c r="E47" s="210"/>
      <c r="F47" s="141"/>
      <c r="G47" s="127"/>
      <c r="H47" s="127"/>
      <c r="I47" s="127"/>
      <c r="J47" s="127"/>
      <c r="K47" s="128"/>
      <c r="L47" s="200"/>
      <c r="M47" s="148" t="str">
        <f t="shared" ref="M47" si="39">A47</f>
        <v/>
      </c>
      <c r="N47" s="213" t="str">
        <f t="shared" si="2"/>
        <v/>
      </c>
      <c r="O47" s="214"/>
      <c r="P47" s="157"/>
      <c r="Q47" s="159"/>
      <c r="R47" s="150"/>
    </row>
    <row r="48" spans="1:18" ht="15" customHeight="1" x14ac:dyDescent="0.25">
      <c r="A48" s="134"/>
      <c r="B48" s="194"/>
      <c r="C48" s="194"/>
      <c r="D48" s="211"/>
      <c r="E48" s="212"/>
      <c r="F48" s="139"/>
      <c r="G48" s="129"/>
      <c r="H48" s="129"/>
      <c r="I48" s="129"/>
      <c r="J48" s="129"/>
      <c r="K48" s="129"/>
      <c r="L48" s="200"/>
      <c r="M48" s="147" t="str">
        <f t="shared" ref="M48" si="40">IF(ISBLANK(A48),"",A48)</f>
        <v/>
      </c>
      <c r="N48" s="215" t="str">
        <f t="shared" si="2"/>
        <v/>
      </c>
      <c r="O48" s="216"/>
      <c r="P48" s="157"/>
      <c r="Q48" s="159"/>
      <c r="R48" s="149"/>
    </row>
    <row r="49" spans="1:18" ht="15" customHeight="1" x14ac:dyDescent="0.25">
      <c r="A49" s="1" t="str">
        <f t="shared" ref="A49" si="41">IF(A48="","",UPPER(TEXT(A48,"[$-043E]DDDD")))</f>
        <v/>
      </c>
      <c r="B49" s="195"/>
      <c r="C49" s="195"/>
      <c r="D49" s="209"/>
      <c r="E49" s="210"/>
      <c r="F49" s="141"/>
      <c r="G49" s="127"/>
      <c r="H49" s="127"/>
      <c r="I49" s="127"/>
      <c r="J49" s="127"/>
      <c r="K49" s="128"/>
      <c r="L49" s="200"/>
      <c r="M49" s="148" t="str">
        <f t="shared" ref="M49" si="42">A49</f>
        <v/>
      </c>
      <c r="N49" s="213" t="str">
        <f t="shared" si="2"/>
        <v/>
      </c>
      <c r="O49" s="214"/>
      <c r="P49" s="157"/>
      <c r="Q49" s="159"/>
      <c r="R49" s="150"/>
    </row>
    <row r="50" spans="1:18" ht="15" customHeight="1" x14ac:dyDescent="0.25">
      <c r="A50" s="134"/>
      <c r="B50" s="194"/>
      <c r="C50" s="194"/>
      <c r="D50" s="211"/>
      <c r="E50" s="212"/>
      <c r="F50" s="139"/>
      <c r="G50" s="129"/>
      <c r="H50" s="129"/>
      <c r="I50" s="129"/>
      <c r="J50" s="129"/>
      <c r="K50" s="129"/>
      <c r="L50" s="200"/>
      <c r="M50" s="147" t="str">
        <f t="shared" ref="M50" si="43">IF(ISBLANK(A50),"",A50)</f>
        <v/>
      </c>
      <c r="N50" s="215" t="str">
        <f t="shared" si="2"/>
        <v/>
      </c>
      <c r="O50" s="216"/>
      <c r="P50" s="157"/>
      <c r="Q50" s="159"/>
      <c r="R50" s="149"/>
    </row>
    <row r="51" spans="1:18" ht="15" customHeight="1" x14ac:dyDescent="0.25">
      <c r="A51" s="1" t="str">
        <f t="shared" ref="A51" si="44">IF(A50="","",UPPER(TEXT(A50,"[$-043E]DDDD")))</f>
        <v/>
      </c>
      <c r="B51" s="195"/>
      <c r="C51" s="195"/>
      <c r="D51" s="209"/>
      <c r="E51" s="210"/>
      <c r="F51" s="141"/>
      <c r="G51" s="127"/>
      <c r="H51" s="127"/>
      <c r="I51" s="127"/>
      <c r="J51" s="127"/>
      <c r="K51" s="128"/>
      <c r="L51" s="200"/>
      <c r="M51" s="148" t="str">
        <f t="shared" ref="M51" si="45">A51</f>
        <v/>
      </c>
      <c r="N51" s="213" t="str">
        <f t="shared" si="2"/>
        <v/>
      </c>
      <c r="O51" s="214"/>
      <c r="P51" s="157"/>
      <c r="Q51" s="159"/>
      <c r="R51" s="150"/>
    </row>
    <row r="52" spans="1:18" ht="15" customHeight="1" x14ac:dyDescent="0.25">
      <c r="A52" s="134"/>
      <c r="B52" s="194"/>
      <c r="C52" s="194"/>
      <c r="D52" s="211"/>
      <c r="E52" s="212"/>
      <c r="F52" s="139"/>
      <c r="G52" s="129"/>
      <c r="H52" s="129"/>
      <c r="I52" s="129"/>
      <c r="J52" s="129"/>
      <c r="K52" s="129"/>
      <c r="L52" s="200"/>
      <c r="M52" s="147" t="str">
        <f t="shared" ref="M52" si="46">IF(ISBLANK(A52),"",A52)</f>
        <v/>
      </c>
      <c r="N52" s="215" t="str">
        <f t="shared" si="2"/>
        <v/>
      </c>
      <c r="O52" s="216"/>
      <c r="P52" s="157"/>
      <c r="Q52" s="159"/>
      <c r="R52" s="149"/>
    </row>
    <row r="53" spans="1:18" ht="15" customHeight="1" x14ac:dyDescent="0.25">
      <c r="A53" s="1" t="str">
        <f t="shared" ref="A53" si="47">IF(A52="","",UPPER(TEXT(A52,"[$-043E]DDDD")))</f>
        <v/>
      </c>
      <c r="B53" s="195"/>
      <c r="C53" s="195"/>
      <c r="D53" s="209"/>
      <c r="E53" s="210"/>
      <c r="F53" s="141"/>
      <c r="G53" s="127"/>
      <c r="H53" s="127"/>
      <c r="I53" s="127"/>
      <c r="J53" s="127"/>
      <c r="K53" s="128"/>
      <c r="L53" s="201"/>
      <c r="M53" s="148" t="str">
        <f t="shared" ref="M53" si="48">A53</f>
        <v/>
      </c>
      <c r="N53" s="213" t="str">
        <f t="shared" si="2"/>
        <v/>
      </c>
      <c r="O53" s="214"/>
      <c r="P53" s="158"/>
      <c r="Q53" s="160"/>
      <c r="R53" s="150"/>
    </row>
    <row r="54" spans="1:18" ht="15.75" thickBot="1" x14ac:dyDescent="0.3">
      <c r="A54" s="39"/>
      <c r="B54" s="40"/>
      <c r="C54" s="40"/>
      <c r="D54" s="41"/>
      <c r="E54" s="40"/>
      <c r="F54" s="2">
        <f>SUM(F20:F53)</f>
        <v>0</v>
      </c>
      <c r="G54" s="2">
        <f t="shared" ref="G54:K54" si="49">SUM(G18:G53)</f>
        <v>0</v>
      </c>
      <c r="H54" s="2">
        <f t="shared" si="49"/>
        <v>0</v>
      </c>
      <c r="I54" s="2">
        <f t="shared" si="49"/>
        <v>0</v>
      </c>
      <c r="J54" s="2">
        <f t="shared" si="49"/>
        <v>0</v>
      </c>
      <c r="K54" s="7">
        <f t="shared" si="49"/>
        <v>0</v>
      </c>
      <c r="L54" s="3"/>
      <c r="M54" s="42"/>
      <c r="N54" s="42"/>
      <c r="O54" s="43"/>
      <c r="P54" s="44"/>
      <c r="R54" s="42"/>
    </row>
    <row r="55" spans="1:18" ht="15.75" thickBot="1" x14ac:dyDescent="0.3">
      <c r="A55" s="45"/>
      <c r="B55" s="41"/>
      <c r="C55" s="41"/>
      <c r="D55" s="40"/>
      <c r="E55" s="40"/>
      <c r="F55" s="4"/>
      <c r="G55" s="5">
        <f>G54*G17</f>
        <v>0</v>
      </c>
      <c r="H55" s="5">
        <f>H54*H17</f>
        <v>0</v>
      </c>
      <c r="I55" s="5">
        <f>I54*I17</f>
        <v>0</v>
      </c>
      <c r="J55" s="5">
        <f>J54*J17</f>
        <v>0</v>
      </c>
      <c r="K55" s="5">
        <f>K54*K17</f>
        <v>0</v>
      </c>
      <c r="L55" s="3"/>
      <c r="O55" s="47"/>
      <c r="P55" s="44"/>
    </row>
    <row r="56" spans="1:18" ht="15.75" thickTop="1" x14ac:dyDescent="0.25">
      <c r="A56" s="45"/>
      <c r="B56" s="41"/>
      <c r="C56" s="41"/>
      <c r="D56" s="40"/>
      <c r="E56" s="40"/>
      <c r="F56" s="46"/>
      <c r="G56" s="46"/>
      <c r="H56" s="46"/>
      <c r="I56" s="46"/>
      <c r="J56" s="46"/>
      <c r="K56" s="46"/>
      <c r="L56" s="3"/>
      <c r="O56" s="47"/>
      <c r="P56" s="44"/>
    </row>
    <row r="57" spans="1:18" x14ac:dyDescent="0.25">
      <c r="A57" s="45"/>
      <c r="B57" s="41"/>
      <c r="C57" s="41"/>
      <c r="D57" s="40"/>
      <c r="E57" s="40"/>
      <c r="F57" s="48"/>
      <c r="G57" s="48"/>
      <c r="H57" s="48"/>
      <c r="I57" s="48"/>
      <c r="J57" s="48"/>
      <c r="K57" s="48"/>
      <c r="L57" s="3"/>
      <c r="O57" s="47"/>
      <c r="P57" s="44"/>
    </row>
    <row r="58" spans="1:18" x14ac:dyDescent="0.25">
      <c r="A58" s="45"/>
      <c r="B58" s="41" t="s">
        <v>28</v>
      </c>
      <c r="C58" s="41"/>
      <c r="D58" s="40"/>
      <c r="E58" s="40"/>
      <c r="F58" s="130">
        <f>SUM(G55:K55)</f>
        <v>0</v>
      </c>
      <c r="G58" s="218"/>
      <c r="H58" s="218"/>
      <c r="I58" s="49" t="s">
        <v>29</v>
      </c>
      <c r="J58" s="49"/>
      <c r="K58" s="49" t="s">
        <v>30</v>
      </c>
      <c r="L58" s="3"/>
      <c r="O58" s="47"/>
      <c r="P58" s="44"/>
    </row>
    <row r="59" spans="1:18" ht="15.75" thickBot="1" x14ac:dyDescent="0.3">
      <c r="A59" s="45"/>
      <c r="B59" s="41" t="s">
        <v>31</v>
      </c>
      <c r="C59" s="40"/>
      <c r="D59" s="40"/>
      <c r="E59" s="40" t="s">
        <v>32</v>
      </c>
      <c r="F59" s="131">
        <f>L9</f>
        <v>0</v>
      </c>
      <c r="G59" s="218"/>
      <c r="H59" s="218"/>
      <c r="I59" s="49"/>
      <c r="J59" s="49"/>
      <c r="K59" s="49"/>
      <c r="L59" s="3"/>
      <c r="O59" s="47"/>
      <c r="P59" s="44"/>
    </row>
    <row r="60" spans="1:18" ht="16.5" thickTop="1" thickBot="1" x14ac:dyDescent="0.3">
      <c r="A60" s="50"/>
      <c r="B60" s="41" t="s">
        <v>33</v>
      </c>
      <c r="C60" s="40"/>
      <c r="D60" s="40"/>
      <c r="E60" s="40" t="s">
        <v>32</v>
      </c>
      <c r="F60" s="132">
        <f>+F58*F59</f>
        <v>0</v>
      </c>
      <c r="G60" s="51"/>
      <c r="H60" s="52"/>
      <c r="I60" s="50"/>
      <c r="J60" s="50"/>
      <c r="K60" s="53"/>
      <c r="L60" s="3"/>
      <c r="O60" s="47"/>
      <c r="P60" s="44"/>
    </row>
    <row r="61" spans="1:18" ht="15.75" thickTop="1" x14ac:dyDescent="0.25">
      <c r="A61" s="50"/>
      <c r="B61" s="40"/>
      <c r="C61" s="40"/>
      <c r="D61" s="50"/>
      <c r="E61" s="50"/>
      <c r="F61" s="54"/>
      <c r="G61" s="55"/>
      <c r="H61" s="50"/>
      <c r="I61" s="50"/>
      <c r="J61" s="50"/>
      <c r="K61" s="50"/>
      <c r="L61" s="3"/>
      <c r="O61" s="47"/>
      <c r="P61" s="44"/>
    </row>
    <row r="62" spans="1:18" x14ac:dyDescent="0.25">
      <c r="A62" s="56"/>
      <c r="B62" s="40" t="s">
        <v>34</v>
      </c>
      <c r="C62" s="57"/>
      <c r="D62" s="58"/>
      <c r="E62" s="58"/>
      <c r="F62" s="59"/>
      <c r="G62" s="59"/>
      <c r="H62" s="58"/>
      <c r="I62" s="58"/>
      <c r="J62" s="58"/>
      <c r="K62" s="58"/>
      <c r="L62" s="3"/>
    </row>
    <row r="63" spans="1:18" x14ac:dyDescent="0.25">
      <c r="A63" s="50"/>
      <c r="B63" s="57"/>
      <c r="C63" s="219" t="s">
        <v>35</v>
      </c>
      <c r="D63" s="219"/>
      <c r="E63" s="219"/>
      <c r="F63" s="219"/>
      <c r="G63" s="219"/>
      <c r="H63" s="219"/>
      <c r="I63" s="219"/>
      <c r="J63" s="219"/>
      <c r="K63" s="219"/>
      <c r="L63" s="3"/>
    </row>
    <row r="64" spans="1:18" x14ac:dyDescent="0.25">
      <c r="A64" s="50"/>
      <c r="B64" s="57"/>
      <c r="C64" s="219"/>
      <c r="D64" s="219"/>
      <c r="E64" s="219"/>
      <c r="F64" s="219"/>
      <c r="G64" s="219"/>
      <c r="H64" s="219"/>
      <c r="I64" s="219"/>
      <c r="J64" s="219"/>
      <c r="K64" s="219"/>
      <c r="L64" s="3"/>
    </row>
    <row r="65" spans="1:18" x14ac:dyDescent="0.25">
      <c r="A65" s="50"/>
      <c r="B65" s="40"/>
      <c r="C65" s="61"/>
      <c r="D65" s="60"/>
      <c r="E65" s="60"/>
      <c r="F65" s="59"/>
      <c r="G65" s="59"/>
      <c r="H65" s="60"/>
      <c r="I65" s="60"/>
      <c r="J65" s="60"/>
      <c r="K65" s="60"/>
      <c r="L65" s="3"/>
    </row>
    <row r="66" spans="1:18" x14ac:dyDescent="0.25">
      <c r="A66" s="10"/>
      <c r="B66" s="11"/>
      <c r="C66" s="11"/>
      <c r="D66" s="10"/>
      <c r="E66" s="10"/>
      <c r="F66" s="12"/>
      <c r="G66" s="13"/>
      <c r="H66" s="10"/>
      <c r="I66" s="10"/>
      <c r="J66" s="10"/>
      <c r="K66" s="10"/>
      <c r="L66" s="3"/>
      <c r="R66" s="62" t="s">
        <v>63</v>
      </c>
    </row>
    <row r="67" spans="1:18" x14ac:dyDescent="0.25">
      <c r="A67" s="10"/>
      <c r="B67" s="11"/>
      <c r="C67" s="11"/>
      <c r="D67" s="10"/>
      <c r="E67" s="10"/>
      <c r="F67" s="12"/>
      <c r="G67" s="13"/>
      <c r="H67" s="10"/>
      <c r="I67" s="10"/>
      <c r="J67" s="10"/>
      <c r="K67" s="10"/>
      <c r="L67" s="3"/>
      <c r="R67" s="63" t="s">
        <v>64</v>
      </c>
    </row>
    <row r="68" spans="1:18" ht="18.75" x14ac:dyDescent="0.3">
      <c r="A68" s="64" t="s">
        <v>36</v>
      </c>
      <c r="B68" s="41" t="s">
        <v>37</v>
      </c>
      <c r="C68" s="40"/>
      <c r="D68" s="40"/>
      <c r="E68" s="40"/>
      <c r="F68" s="54"/>
      <c r="G68" s="54"/>
      <c r="H68" s="40"/>
      <c r="I68" s="40"/>
      <c r="J68" s="40"/>
      <c r="K68" s="60"/>
      <c r="L68" s="3"/>
      <c r="R68" s="65"/>
    </row>
    <row r="69" spans="1:18" x14ac:dyDescent="0.25">
      <c r="A69" s="50"/>
      <c r="B69" s="40"/>
      <c r="C69" s="61"/>
      <c r="D69" s="60"/>
      <c r="E69" s="60"/>
      <c r="F69" s="59"/>
      <c r="G69" s="59"/>
      <c r="H69" s="60"/>
      <c r="I69" s="60"/>
      <c r="J69" s="60"/>
      <c r="K69" s="60"/>
      <c r="L69" s="3"/>
    </row>
    <row r="70" spans="1:18" x14ac:dyDescent="0.25">
      <c r="A70" s="50"/>
      <c r="B70" s="40"/>
      <c r="C70" s="61"/>
      <c r="D70" s="60"/>
      <c r="E70" s="60"/>
      <c r="F70" s="59"/>
      <c r="G70" s="59"/>
      <c r="H70" s="60"/>
      <c r="I70" s="60"/>
      <c r="J70" s="60"/>
      <c r="K70" s="60"/>
      <c r="L70" s="3"/>
    </row>
    <row r="71" spans="1:18" ht="20.25" x14ac:dyDescent="0.25">
      <c r="A71" s="50"/>
      <c r="B71" s="40"/>
      <c r="C71" s="61"/>
      <c r="D71" s="60"/>
      <c r="E71" s="60"/>
      <c r="F71" s="59"/>
      <c r="G71" s="59"/>
      <c r="H71" s="60"/>
      <c r="I71" s="60"/>
      <c r="J71" s="60"/>
      <c r="K71" s="60"/>
      <c r="L71" s="3"/>
      <c r="M71" s="217" t="s">
        <v>87</v>
      </c>
      <c r="N71" s="217"/>
      <c r="O71" s="217"/>
      <c r="P71" s="217"/>
      <c r="Q71" s="217"/>
      <c r="R71" s="217"/>
    </row>
    <row r="72" spans="1:18" ht="20.25" x14ac:dyDescent="0.25">
      <c r="A72" s="50"/>
      <c r="B72" s="41"/>
      <c r="C72" s="41" t="s">
        <v>38</v>
      </c>
      <c r="D72" s="50"/>
      <c r="E72" s="50"/>
      <c r="F72" s="55"/>
      <c r="G72" s="55"/>
      <c r="H72" s="50"/>
      <c r="I72" s="50"/>
      <c r="J72" s="60"/>
      <c r="K72" s="60"/>
      <c r="L72" s="3"/>
      <c r="M72" s="217" t="s">
        <v>88</v>
      </c>
      <c r="N72" s="217"/>
      <c r="O72" s="217"/>
      <c r="P72" s="217"/>
      <c r="Q72" s="217"/>
      <c r="R72" s="217"/>
    </row>
    <row r="73" spans="1:18" ht="16.5" x14ac:dyDescent="0.25">
      <c r="A73" s="50"/>
      <c r="B73" s="66"/>
      <c r="C73" s="66" t="s">
        <v>106</v>
      </c>
      <c r="D73" s="67"/>
      <c r="E73" s="68" t="s">
        <v>5</v>
      </c>
      <c r="F73" s="69"/>
      <c r="G73" s="69"/>
      <c r="H73" s="70"/>
      <c r="I73" s="70"/>
      <c r="J73" s="60"/>
      <c r="K73" s="60"/>
      <c r="L73" s="3"/>
      <c r="M73" s="221"/>
      <c r="N73" s="221"/>
      <c r="O73" s="221"/>
      <c r="P73" s="221"/>
      <c r="Q73" s="221"/>
      <c r="R73" s="221"/>
    </row>
    <row r="74" spans="1:18" x14ac:dyDescent="0.25">
      <c r="A74" s="50"/>
      <c r="B74" s="40"/>
      <c r="C74" s="40"/>
      <c r="D74" s="40"/>
      <c r="E74" s="71"/>
      <c r="F74" s="72"/>
      <c r="G74" s="73"/>
      <c r="H74" s="74"/>
      <c r="I74" s="50"/>
      <c r="J74" s="60"/>
      <c r="K74" s="60"/>
      <c r="L74" s="3"/>
    </row>
    <row r="75" spans="1:18" x14ac:dyDescent="0.25">
      <c r="A75" s="50"/>
      <c r="B75" s="41"/>
      <c r="C75" s="41" t="s">
        <v>39</v>
      </c>
      <c r="D75" s="50"/>
      <c r="E75" s="68" t="s">
        <v>5</v>
      </c>
      <c r="F75" s="222">
        <f>C8</f>
        <v>0</v>
      </c>
      <c r="G75" s="222"/>
      <c r="H75" s="222"/>
      <c r="I75" s="222"/>
      <c r="J75" s="222"/>
      <c r="K75" s="222"/>
      <c r="L75" s="3"/>
      <c r="M75" s="223" t="s">
        <v>89</v>
      </c>
      <c r="N75" s="223"/>
      <c r="O75" s="223"/>
      <c r="P75" s="223"/>
      <c r="Q75" s="223"/>
      <c r="R75" s="223"/>
    </row>
    <row r="76" spans="1:18" ht="18.75" x14ac:dyDescent="0.3">
      <c r="A76" s="50"/>
      <c r="B76" s="40"/>
      <c r="C76" s="40"/>
      <c r="D76" s="68"/>
      <c r="E76" s="71"/>
      <c r="F76" s="72"/>
      <c r="G76" s="73"/>
      <c r="H76" s="74"/>
      <c r="I76" s="50"/>
      <c r="J76" s="60"/>
      <c r="K76" s="60"/>
      <c r="L76" s="50"/>
      <c r="M76" s="75"/>
      <c r="N76" s="75"/>
      <c r="O76" s="75"/>
      <c r="P76" s="75"/>
      <c r="Q76" s="75"/>
      <c r="R76" s="75"/>
    </row>
    <row r="77" spans="1:18" ht="18.75" x14ac:dyDescent="0.3">
      <c r="A77" s="64"/>
      <c r="B77" s="41"/>
      <c r="C77" s="41" t="s">
        <v>40</v>
      </c>
      <c r="D77" s="50"/>
      <c r="E77" s="68" t="s">
        <v>5</v>
      </c>
      <c r="F77" s="224">
        <f>C10</f>
        <v>0</v>
      </c>
      <c r="G77" s="224"/>
      <c r="H77" s="224"/>
      <c r="I77" s="224"/>
      <c r="J77" s="224"/>
      <c r="K77" s="40"/>
      <c r="L77" s="50"/>
      <c r="M77" s="75"/>
      <c r="N77" s="75"/>
      <c r="O77" s="75"/>
      <c r="P77" s="75"/>
      <c r="Q77" s="75"/>
      <c r="R77" s="75"/>
    </row>
    <row r="78" spans="1:18" ht="18.600000000000001" customHeight="1" x14ac:dyDescent="0.25">
      <c r="A78" s="67"/>
      <c r="B78" s="40"/>
      <c r="C78" s="40"/>
      <c r="D78" s="68"/>
      <c r="E78" s="74"/>
      <c r="F78" s="73"/>
      <c r="G78" s="73"/>
      <c r="H78" s="74"/>
      <c r="I78" s="50"/>
      <c r="J78" s="67"/>
      <c r="K78" s="50"/>
      <c r="L78" s="50"/>
      <c r="M78" s="133"/>
      <c r="N78" s="133"/>
      <c r="O78" s="226" t="str">
        <f>"NAMA PEGAWAI :    " &amp; C8</f>
        <v xml:space="preserve">NAMA PEGAWAI :    </v>
      </c>
      <c r="P78" s="226"/>
      <c r="Q78" s="226"/>
      <c r="R78" s="226"/>
    </row>
    <row r="79" spans="1:18" ht="18.75" x14ac:dyDescent="0.25">
      <c r="A79" s="67"/>
      <c r="B79" s="40"/>
      <c r="C79" s="40" t="s">
        <v>41</v>
      </c>
      <c r="D79" s="71"/>
      <c r="E79" s="68" t="s">
        <v>5</v>
      </c>
      <c r="F79" s="76"/>
      <c r="G79" s="55"/>
      <c r="H79" s="74"/>
      <c r="I79" s="50"/>
      <c r="J79" s="67"/>
      <c r="K79" s="50"/>
      <c r="L79" s="10"/>
      <c r="M79" s="77"/>
      <c r="N79" s="77"/>
      <c r="O79" s="78"/>
      <c r="P79" s="225" t="str">
        <f>"                      "&amp;C11</f>
        <v xml:space="preserve">                      </v>
      </c>
      <c r="Q79" s="225"/>
      <c r="R79" s="79"/>
    </row>
    <row r="80" spans="1:18" ht="18.75" x14ac:dyDescent="0.25">
      <c r="A80" s="50"/>
      <c r="B80" s="67"/>
      <c r="C80" s="40"/>
      <c r="D80" s="50"/>
      <c r="E80" s="50"/>
      <c r="F80" s="55"/>
      <c r="G80" s="55"/>
      <c r="H80" s="50"/>
      <c r="I80" s="50"/>
      <c r="J80" s="50"/>
      <c r="K80" s="50"/>
      <c r="L80" s="10"/>
      <c r="M80" s="77"/>
      <c r="N80" s="77"/>
      <c r="O80" s="78"/>
      <c r="P80" s="78"/>
      <c r="Q80" s="78"/>
      <c r="R80" s="80"/>
    </row>
    <row r="81" spans="1:18" ht="15" customHeight="1" x14ac:dyDescent="0.25">
      <c r="A81" s="50"/>
      <c r="B81" s="67"/>
      <c r="C81" s="41"/>
      <c r="D81" s="50"/>
      <c r="E81" s="50"/>
      <c r="F81" s="55"/>
      <c r="G81" s="55"/>
      <c r="H81" s="50"/>
      <c r="I81" s="50"/>
      <c r="J81" s="50"/>
      <c r="K81" s="50"/>
      <c r="L81" s="50"/>
      <c r="M81" s="78"/>
      <c r="N81" s="78"/>
      <c r="O81" s="227" t="str">
        <f>"NO. PEGAWAI :        " &amp; C10</f>
        <v xml:space="preserve">NO. PEGAWAI :        </v>
      </c>
      <c r="P81" s="227"/>
      <c r="Q81" s="227"/>
      <c r="R81" s="227"/>
    </row>
    <row r="82" spans="1:18" ht="18.75" x14ac:dyDescent="0.3">
      <c r="A82" s="50"/>
      <c r="B82" s="67"/>
      <c r="C82" s="66"/>
      <c r="D82" s="67"/>
      <c r="E82" s="50"/>
      <c r="F82" s="54"/>
      <c r="G82" s="54"/>
      <c r="H82" s="50"/>
      <c r="I82" s="50"/>
      <c r="J82" s="50"/>
      <c r="K82" s="50"/>
      <c r="L82" s="50"/>
      <c r="M82" s="75"/>
      <c r="N82" s="75"/>
      <c r="O82" s="75"/>
      <c r="P82" s="75"/>
      <c r="Q82" s="75"/>
      <c r="R82" s="75"/>
    </row>
    <row r="83" spans="1:18" ht="18.75" x14ac:dyDescent="0.3">
      <c r="A83" s="50"/>
      <c r="B83" s="67"/>
      <c r="C83" s="41" t="s">
        <v>42</v>
      </c>
      <c r="D83" s="50"/>
      <c r="E83" s="50"/>
      <c r="F83" s="55"/>
      <c r="G83" s="55"/>
      <c r="H83" s="50"/>
      <c r="I83" s="50"/>
      <c r="J83" s="50"/>
      <c r="K83" s="50"/>
      <c r="L83" s="50"/>
      <c r="M83" s="228"/>
      <c r="N83" s="228"/>
      <c r="O83" s="228"/>
      <c r="P83" s="228"/>
      <c r="Q83" s="228"/>
      <c r="R83" s="228"/>
    </row>
    <row r="84" spans="1:18" ht="18.75" customHeight="1" x14ac:dyDescent="0.25">
      <c r="A84" s="50"/>
      <c r="B84" s="67"/>
      <c r="C84" s="66" t="s">
        <v>106</v>
      </c>
      <c r="D84" s="50"/>
      <c r="E84" s="68" t="s">
        <v>5</v>
      </c>
      <c r="F84" s="81"/>
      <c r="G84" s="81"/>
      <c r="H84" s="82"/>
      <c r="I84" s="82"/>
      <c r="J84" s="74"/>
      <c r="K84" s="50"/>
      <c r="L84" s="50"/>
      <c r="M84" s="220" t="s">
        <v>90</v>
      </c>
      <c r="N84" s="220"/>
      <c r="O84" s="220"/>
      <c r="P84" s="220"/>
      <c r="Q84" s="220"/>
      <c r="R84" s="220"/>
    </row>
    <row r="85" spans="1:18" ht="18.75" customHeight="1" x14ac:dyDescent="0.25">
      <c r="A85" s="50"/>
      <c r="B85" s="67"/>
      <c r="C85" s="40"/>
      <c r="D85" s="50"/>
      <c r="E85" s="50"/>
      <c r="F85" s="55"/>
      <c r="G85" s="55"/>
      <c r="H85" s="50"/>
      <c r="I85" s="50"/>
      <c r="J85" s="50"/>
      <c r="K85" s="50"/>
      <c r="L85" s="50"/>
      <c r="M85" s="220" t="s">
        <v>91</v>
      </c>
      <c r="N85" s="220"/>
      <c r="O85" s="220"/>
      <c r="P85" s="220"/>
      <c r="Q85" s="220"/>
      <c r="R85" s="220"/>
    </row>
    <row r="86" spans="1:18" ht="18.75" x14ac:dyDescent="0.3">
      <c r="A86" s="50"/>
      <c r="B86" s="67"/>
      <c r="C86" s="41" t="s">
        <v>43</v>
      </c>
      <c r="D86" s="50"/>
      <c r="E86" s="68" t="s">
        <v>5</v>
      </c>
      <c r="F86" s="81"/>
      <c r="G86" s="81"/>
      <c r="H86" s="82"/>
      <c r="I86" s="82"/>
      <c r="J86" s="50"/>
      <c r="K86" s="50"/>
      <c r="L86" s="50"/>
      <c r="M86" s="229"/>
      <c r="N86" s="229"/>
      <c r="O86" s="229"/>
      <c r="P86" s="229"/>
      <c r="Q86" s="229"/>
      <c r="R86" s="229"/>
    </row>
    <row r="87" spans="1:18" ht="18.75" customHeight="1" x14ac:dyDescent="0.25">
      <c r="A87" s="50"/>
      <c r="B87" s="67"/>
      <c r="C87" s="40"/>
      <c r="D87" s="50"/>
      <c r="E87" s="50"/>
      <c r="F87" s="55"/>
      <c r="G87" s="55"/>
      <c r="H87" s="50"/>
      <c r="I87" s="50"/>
      <c r="J87" s="50"/>
      <c r="K87" s="50"/>
      <c r="L87" s="50"/>
      <c r="M87" s="220"/>
      <c r="N87" s="220"/>
      <c r="O87" s="220"/>
      <c r="P87" s="220"/>
      <c r="Q87" s="220"/>
      <c r="R87" s="220"/>
    </row>
    <row r="88" spans="1:18" ht="18.75" customHeight="1" x14ac:dyDescent="0.25">
      <c r="A88" s="50"/>
      <c r="B88" s="67"/>
      <c r="C88" s="41" t="s">
        <v>40</v>
      </c>
      <c r="D88" s="50"/>
      <c r="E88" s="68" t="s">
        <v>5</v>
      </c>
      <c r="F88" s="244"/>
      <c r="G88" s="244"/>
      <c r="H88" s="244"/>
      <c r="I88" s="244"/>
      <c r="J88" s="244"/>
      <c r="K88" s="50"/>
      <c r="L88" s="50"/>
      <c r="M88" s="220" t="s">
        <v>92</v>
      </c>
      <c r="N88" s="220"/>
      <c r="O88" s="220"/>
      <c r="P88" s="220"/>
      <c r="Q88" s="220"/>
      <c r="R88" s="220"/>
    </row>
    <row r="89" spans="1:18" ht="18.75" customHeight="1" x14ac:dyDescent="0.25">
      <c r="A89" s="50"/>
      <c r="B89" s="67"/>
      <c r="C89" s="40"/>
      <c r="D89" s="50"/>
      <c r="E89" s="50"/>
      <c r="F89" s="84"/>
      <c r="G89" s="84"/>
      <c r="H89" s="85"/>
      <c r="I89" s="85"/>
      <c r="J89" s="40"/>
      <c r="K89" s="50"/>
      <c r="L89" s="50"/>
      <c r="M89" s="83" t="s">
        <v>93</v>
      </c>
      <c r="N89" s="83"/>
      <c r="O89" s="83"/>
      <c r="P89" s="83"/>
      <c r="Q89" s="83"/>
      <c r="R89" s="83"/>
    </row>
    <row r="90" spans="1:18" ht="18.75" customHeight="1" x14ac:dyDescent="0.25">
      <c r="A90" s="50"/>
      <c r="B90" s="67"/>
      <c r="C90" s="40" t="s">
        <v>41</v>
      </c>
      <c r="D90" s="71"/>
      <c r="E90" s="68" t="s">
        <v>5</v>
      </c>
      <c r="F90" s="69"/>
      <c r="G90" s="55"/>
      <c r="H90" s="50"/>
      <c r="I90" s="50"/>
      <c r="J90" s="41"/>
      <c r="K90" s="50"/>
      <c r="L90" s="50"/>
      <c r="M90" s="83"/>
      <c r="N90" s="83"/>
      <c r="O90" s="83"/>
      <c r="P90" s="83"/>
      <c r="Q90" s="83"/>
      <c r="R90" s="83"/>
    </row>
    <row r="91" spans="1:18" ht="18.75" customHeight="1" x14ac:dyDescent="0.25">
      <c r="A91" s="50"/>
      <c r="B91" s="67"/>
      <c r="C91" s="41"/>
      <c r="D91" s="50"/>
      <c r="E91" s="68"/>
      <c r="F91" s="73"/>
      <c r="G91" s="73"/>
      <c r="H91" s="74"/>
      <c r="I91" s="74"/>
      <c r="J91" s="50"/>
      <c r="K91" s="50"/>
      <c r="L91" s="50"/>
      <c r="M91" s="83" t="s">
        <v>94</v>
      </c>
      <c r="N91" s="83"/>
      <c r="O91" s="83"/>
      <c r="P91" s="83"/>
      <c r="Q91" s="83"/>
      <c r="R91" s="83"/>
    </row>
    <row r="92" spans="1:18" ht="18.75" customHeight="1" x14ac:dyDescent="0.25">
      <c r="A92" s="50"/>
      <c r="B92" s="67"/>
      <c r="C92" s="40"/>
      <c r="D92" s="50"/>
      <c r="E92" s="50"/>
      <c r="F92" s="55"/>
      <c r="G92" s="55"/>
      <c r="H92" s="50"/>
      <c r="I92" s="50"/>
      <c r="J92" s="50"/>
      <c r="K92" s="50"/>
      <c r="L92" s="50"/>
      <c r="M92" s="83"/>
      <c r="N92" s="83"/>
      <c r="O92" s="83"/>
      <c r="P92" s="83"/>
      <c r="Q92" s="83"/>
      <c r="R92" s="83"/>
    </row>
    <row r="93" spans="1:18" ht="18.75" customHeight="1" x14ac:dyDescent="0.25">
      <c r="A93" s="50"/>
      <c r="B93" s="67"/>
      <c r="C93" s="40"/>
      <c r="D93" s="71"/>
      <c r="E93" s="68"/>
      <c r="F93" s="54"/>
      <c r="G93" s="55"/>
      <c r="H93" s="50"/>
      <c r="I93" s="50"/>
      <c r="J93" s="50"/>
      <c r="K93" s="50"/>
      <c r="L93" s="50"/>
      <c r="M93" s="83" t="s">
        <v>95</v>
      </c>
      <c r="N93" s="83"/>
      <c r="O93" s="83"/>
      <c r="P93" s="83"/>
      <c r="Q93" s="83"/>
      <c r="R93" s="83"/>
    </row>
    <row r="94" spans="1:18" x14ac:dyDescent="0.25">
      <c r="A94" s="64" t="s">
        <v>44</v>
      </c>
      <c r="B94" s="86" t="s">
        <v>45</v>
      </c>
      <c r="C94" s="87"/>
      <c r="D94" s="86"/>
      <c r="E94" s="86"/>
      <c r="F94" s="12"/>
      <c r="G94" s="12"/>
      <c r="H94" s="86"/>
      <c r="I94" s="86"/>
      <c r="J94" s="86"/>
      <c r="K94" s="27"/>
      <c r="L94" s="17"/>
      <c r="M94" s="83" t="s">
        <v>104</v>
      </c>
      <c r="N94" s="83"/>
      <c r="O94" s="83"/>
      <c r="P94" s="83"/>
      <c r="Q94" s="83"/>
      <c r="R94" s="83"/>
    </row>
    <row r="95" spans="1:18" ht="18.75" x14ac:dyDescent="0.3">
      <c r="A95" s="64"/>
      <c r="B95" s="86" t="s">
        <v>46</v>
      </c>
      <c r="C95" s="87"/>
      <c r="D95" s="86"/>
      <c r="E95" s="86"/>
      <c r="F95" s="12"/>
      <c r="G95" s="12"/>
      <c r="H95" s="86"/>
      <c r="I95" s="86"/>
      <c r="J95" s="86"/>
      <c r="K95" s="27"/>
      <c r="L95" s="17"/>
      <c r="M95" s="229"/>
      <c r="N95" s="229"/>
      <c r="O95" s="229"/>
      <c r="P95" s="229"/>
      <c r="Q95" s="229"/>
      <c r="R95" s="229"/>
    </row>
    <row r="96" spans="1:18" ht="18.75" x14ac:dyDescent="0.3">
      <c r="A96" s="64"/>
      <c r="B96" s="86" t="s">
        <v>47</v>
      </c>
      <c r="C96" s="87"/>
      <c r="D96" s="86"/>
      <c r="E96" s="86"/>
      <c r="F96" s="12"/>
      <c r="G96" s="12"/>
      <c r="H96" s="86"/>
      <c r="I96" s="86"/>
      <c r="J96" s="86"/>
      <c r="K96" s="27"/>
      <c r="L96" s="17"/>
      <c r="M96" s="229"/>
      <c r="N96" s="229"/>
      <c r="O96" s="229"/>
      <c r="P96" s="229"/>
      <c r="Q96" s="229"/>
      <c r="R96" s="229"/>
    </row>
    <row r="97" spans="1:18" ht="18.75" x14ac:dyDescent="0.3">
      <c r="A97" s="64"/>
      <c r="B97" s="86" t="s">
        <v>48</v>
      </c>
      <c r="C97" s="87"/>
      <c r="D97" s="86"/>
      <c r="E97" s="86"/>
      <c r="F97" s="12"/>
      <c r="G97" s="12"/>
      <c r="H97" s="86"/>
      <c r="I97" s="86"/>
      <c r="J97" s="86"/>
      <c r="K97" s="27"/>
      <c r="L97" s="17"/>
      <c r="M97" s="229"/>
      <c r="N97" s="229"/>
      <c r="O97" s="229"/>
      <c r="P97" s="229"/>
      <c r="Q97" s="229"/>
      <c r="R97" s="229"/>
    </row>
    <row r="98" spans="1:18" ht="18.75" x14ac:dyDescent="0.3">
      <c r="A98" s="64"/>
      <c r="B98" s="86" t="s">
        <v>49</v>
      </c>
      <c r="C98" s="87"/>
      <c r="D98" s="86"/>
      <c r="E98" s="86"/>
      <c r="F98" s="12"/>
      <c r="G98" s="12"/>
      <c r="H98" s="86"/>
      <c r="I98" s="86"/>
      <c r="J98" s="86"/>
      <c r="K98" s="27"/>
      <c r="L98" s="17"/>
      <c r="M98" s="229"/>
      <c r="N98" s="229"/>
      <c r="O98" s="229"/>
      <c r="P98" s="229"/>
      <c r="Q98" s="229"/>
      <c r="R98" s="229"/>
    </row>
    <row r="99" spans="1:18" x14ac:dyDescent="0.25">
      <c r="A99" s="64"/>
      <c r="B99" s="86" t="s">
        <v>50</v>
      </c>
      <c r="C99" s="87"/>
      <c r="D99" s="27"/>
      <c r="E99" s="27"/>
      <c r="F99" s="14"/>
      <c r="G99" s="14"/>
      <c r="H99" s="27"/>
      <c r="I99" s="27"/>
      <c r="J99" s="27"/>
      <c r="K99" s="27"/>
      <c r="L99" s="17"/>
      <c r="M99" s="220"/>
      <c r="N99" s="220"/>
      <c r="O99" s="220"/>
      <c r="P99" s="220"/>
      <c r="Q99" s="220"/>
      <c r="R99" s="220"/>
    </row>
    <row r="100" spans="1:18" x14ac:dyDescent="0.25">
      <c r="A100" s="50"/>
      <c r="B100" s="86"/>
      <c r="C100" s="18"/>
      <c r="D100" s="88"/>
      <c r="E100" s="89"/>
      <c r="F100" s="90"/>
      <c r="G100" s="90"/>
      <c r="H100" s="89"/>
      <c r="I100" s="17"/>
      <c r="J100" s="17"/>
      <c r="K100" s="17"/>
      <c r="L100" s="17"/>
      <c r="M100" s="83"/>
      <c r="N100" s="83"/>
      <c r="O100" s="83"/>
      <c r="P100" s="83"/>
      <c r="Q100" s="83"/>
      <c r="R100" s="83"/>
    </row>
    <row r="101" spans="1:18" ht="18.75" x14ac:dyDescent="0.25">
      <c r="A101" s="64" t="s">
        <v>51</v>
      </c>
      <c r="B101" s="18" t="s">
        <v>52</v>
      </c>
      <c r="C101" s="91"/>
      <c r="D101" s="17"/>
      <c r="E101" s="17"/>
      <c r="F101" s="14"/>
      <c r="G101" s="14"/>
      <c r="H101" s="17"/>
      <c r="I101" s="17"/>
      <c r="J101" s="17"/>
      <c r="K101" s="17"/>
      <c r="L101" s="17"/>
      <c r="O101" s="79"/>
    </row>
    <row r="102" spans="1:18" x14ac:dyDescent="0.25">
      <c r="A102" s="64"/>
      <c r="B102" s="18" t="s">
        <v>53</v>
      </c>
      <c r="C102" s="91"/>
      <c r="D102" s="17"/>
      <c r="E102" s="17"/>
      <c r="F102" s="14"/>
      <c r="G102" s="14"/>
      <c r="H102" s="17"/>
      <c r="I102" s="17"/>
      <c r="J102" s="17"/>
      <c r="K102" s="17"/>
      <c r="L102" s="17"/>
    </row>
    <row r="103" spans="1:18" x14ac:dyDescent="0.25">
      <c r="A103" s="64"/>
      <c r="B103" s="18" t="s">
        <v>54</v>
      </c>
      <c r="C103" s="91"/>
      <c r="D103" s="17"/>
      <c r="E103" s="17"/>
      <c r="F103" s="14"/>
      <c r="G103" s="14"/>
      <c r="H103" s="17"/>
      <c r="I103" s="17"/>
      <c r="J103" s="17"/>
      <c r="K103" s="17"/>
      <c r="L103" s="17"/>
      <c r="O103" s="77" t="s">
        <v>103</v>
      </c>
    </row>
    <row r="104" spans="1:18" x14ac:dyDescent="0.25">
      <c r="A104" s="64"/>
      <c r="B104" s="41"/>
      <c r="C104" s="92"/>
      <c r="D104" s="41"/>
      <c r="E104" s="41"/>
      <c r="F104" s="54"/>
      <c r="G104" s="54"/>
      <c r="H104" s="41"/>
      <c r="I104" s="41"/>
      <c r="J104" s="41"/>
      <c r="K104" s="93"/>
      <c r="L104" s="50"/>
      <c r="P104" s="94"/>
      <c r="Q104" s="94"/>
      <c r="R104" s="94"/>
    </row>
    <row r="105" spans="1:18" x14ac:dyDescent="0.25">
      <c r="A105" s="64"/>
      <c r="B105" s="40" t="s">
        <v>55</v>
      </c>
      <c r="C105" s="95"/>
      <c r="D105" s="50"/>
      <c r="E105" s="50"/>
      <c r="F105" s="55"/>
      <c r="G105" s="55"/>
      <c r="H105" s="50"/>
      <c r="I105" s="50"/>
      <c r="J105" s="50"/>
      <c r="K105" s="50"/>
      <c r="L105" s="50"/>
    </row>
    <row r="106" spans="1:18" x14ac:dyDescent="0.25">
      <c r="A106" s="64"/>
      <c r="B106" s="40"/>
      <c r="C106" s="95"/>
      <c r="D106" s="50"/>
      <c r="E106" s="50"/>
      <c r="F106" s="55"/>
      <c r="G106" s="55"/>
      <c r="H106" s="50"/>
      <c r="I106" s="50"/>
      <c r="J106" s="50"/>
      <c r="K106" s="50"/>
      <c r="L106" s="50"/>
    </row>
    <row r="107" spans="1:18" x14ac:dyDescent="0.25">
      <c r="A107" s="64"/>
      <c r="B107" s="40"/>
      <c r="C107" s="95"/>
      <c r="D107" s="50"/>
      <c r="E107" s="50"/>
      <c r="F107" s="55"/>
      <c r="G107" s="55"/>
      <c r="H107" s="50"/>
      <c r="I107" s="50"/>
      <c r="J107" s="50"/>
      <c r="K107" s="50"/>
      <c r="L107" s="50"/>
      <c r="O107" s="94" t="s">
        <v>102</v>
      </c>
      <c r="P107" s="94"/>
      <c r="Q107" s="94"/>
      <c r="R107" s="94"/>
    </row>
    <row r="108" spans="1:18" x14ac:dyDescent="0.25">
      <c r="A108" s="64" t="s">
        <v>56</v>
      </c>
      <c r="B108" s="95"/>
      <c r="C108" s="40" t="s">
        <v>105</v>
      </c>
      <c r="D108" s="40"/>
      <c r="E108" s="68" t="s">
        <v>5</v>
      </c>
      <c r="F108" s="96"/>
      <c r="G108" s="96"/>
      <c r="H108" s="97"/>
      <c r="I108" s="97"/>
      <c r="J108" s="50"/>
      <c r="K108" s="50"/>
      <c r="L108" s="50"/>
      <c r="P108" s="94"/>
      <c r="Q108" s="94"/>
      <c r="R108" s="94"/>
    </row>
    <row r="109" spans="1:18" x14ac:dyDescent="0.25">
      <c r="A109" s="55"/>
      <c r="B109" s="95"/>
      <c r="C109" s="40"/>
      <c r="D109" s="98"/>
      <c r="E109" s="68"/>
      <c r="F109" s="55"/>
      <c r="G109" s="55"/>
      <c r="H109" s="50"/>
      <c r="I109" s="50"/>
      <c r="J109" s="50"/>
      <c r="K109" s="50"/>
      <c r="L109" s="50"/>
      <c r="O109" s="83" t="s">
        <v>96</v>
      </c>
      <c r="P109" s="94"/>
      <c r="Q109" s="94"/>
      <c r="R109" s="94"/>
    </row>
    <row r="110" spans="1:18" x14ac:dyDescent="0.25">
      <c r="A110" s="50"/>
      <c r="B110" s="95"/>
      <c r="C110" s="41" t="s">
        <v>57</v>
      </c>
      <c r="D110" s="98"/>
      <c r="E110" s="68" t="s">
        <v>5</v>
      </c>
      <c r="F110" s="81"/>
      <c r="G110" s="81"/>
      <c r="H110" s="82"/>
      <c r="I110" s="82"/>
      <c r="J110" s="50"/>
      <c r="K110" s="50"/>
      <c r="L110" s="50"/>
      <c r="O110" s="99" t="s">
        <v>97</v>
      </c>
    </row>
    <row r="111" spans="1:18" x14ac:dyDescent="0.25">
      <c r="A111" s="50"/>
      <c r="B111" s="95"/>
      <c r="C111" s="66"/>
      <c r="D111" s="98"/>
      <c r="E111" s="68"/>
      <c r="F111" s="55"/>
      <c r="G111" s="55"/>
      <c r="H111" s="50"/>
      <c r="I111" s="50"/>
      <c r="J111" s="50"/>
      <c r="K111" s="50"/>
      <c r="L111" s="50"/>
      <c r="O111" s="99" t="s">
        <v>98</v>
      </c>
      <c r="P111" s="94"/>
      <c r="Q111" s="94"/>
      <c r="R111" s="94"/>
    </row>
    <row r="112" spans="1:18" x14ac:dyDescent="0.25">
      <c r="A112" s="50"/>
      <c r="B112" s="95"/>
      <c r="C112" s="41" t="s">
        <v>40</v>
      </c>
      <c r="D112" s="98"/>
      <c r="E112" s="68" t="s">
        <v>5</v>
      </c>
      <c r="F112" s="101"/>
      <c r="G112" s="101"/>
      <c r="H112" s="102"/>
      <c r="I112" s="102"/>
      <c r="J112" s="50"/>
      <c r="K112" s="50"/>
      <c r="L112" s="50"/>
      <c r="O112" s="99" t="s">
        <v>99</v>
      </c>
      <c r="Q112" s="100"/>
      <c r="R112" s="100"/>
    </row>
    <row r="113" spans="1:18" x14ac:dyDescent="0.25">
      <c r="A113" s="50"/>
      <c r="B113" s="95"/>
      <c r="C113" s="40"/>
      <c r="D113" s="98"/>
      <c r="E113" s="68"/>
      <c r="F113" s="55"/>
      <c r="G113" s="55"/>
      <c r="H113" s="50"/>
      <c r="I113" s="50"/>
      <c r="J113" s="50"/>
      <c r="K113" s="50"/>
      <c r="L113" s="50"/>
      <c r="O113" s="83"/>
      <c r="P113" s="94"/>
      <c r="Q113" s="94"/>
      <c r="R113" s="94"/>
    </row>
    <row r="114" spans="1:18" x14ac:dyDescent="0.25">
      <c r="A114" s="17"/>
      <c r="B114" s="91"/>
      <c r="C114" s="86" t="s">
        <v>15</v>
      </c>
      <c r="D114" s="103"/>
      <c r="E114" s="104" t="s">
        <v>5</v>
      </c>
      <c r="F114" s="69"/>
      <c r="G114" s="14"/>
      <c r="H114" s="17"/>
      <c r="I114" s="17"/>
      <c r="J114" s="17"/>
      <c r="K114" s="17"/>
      <c r="L114" s="50"/>
      <c r="O114" s="99" t="s">
        <v>100</v>
      </c>
      <c r="P114" s="8" t="s">
        <v>5</v>
      </c>
    </row>
    <row r="115" spans="1:18" x14ac:dyDescent="0.25">
      <c r="O115" s="83"/>
    </row>
    <row r="116" spans="1:18" x14ac:dyDescent="0.25">
      <c r="O116" s="99" t="s">
        <v>101</v>
      </c>
      <c r="P116" s="8" t="s">
        <v>5</v>
      </c>
    </row>
    <row r="119" spans="1:18" ht="60" customHeight="1" x14ac:dyDescent="0.25"/>
    <row r="124" spans="1:18" ht="18.75" x14ac:dyDescent="0.25">
      <c r="A124" s="245" t="s">
        <v>65</v>
      </c>
      <c r="B124" s="246"/>
      <c r="C124" s="246"/>
      <c r="D124" s="246"/>
      <c r="E124" s="246"/>
      <c r="F124" s="246"/>
      <c r="G124" s="246"/>
      <c r="H124" s="246"/>
      <c r="I124" s="246"/>
      <c r="J124" s="246"/>
      <c r="K124" s="246"/>
      <c r="L124" s="247"/>
    </row>
    <row r="125" spans="1:18" ht="27" customHeight="1" x14ac:dyDescent="0.25">
      <c r="A125" s="248" t="s">
        <v>66</v>
      </c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50"/>
    </row>
    <row r="126" spans="1:18" ht="27" customHeight="1" x14ac:dyDescent="0.25">
      <c r="A126" s="105" t="s">
        <v>67</v>
      </c>
      <c r="B126" s="106"/>
      <c r="C126" s="106"/>
      <c r="D126" s="251">
        <f>C8</f>
        <v>0</v>
      </c>
      <c r="E126" s="252"/>
      <c r="F126" s="252"/>
      <c r="G126" s="252"/>
      <c r="H126" s="252"/>
      <c r="I126" s="253"/>
      <c r="J126" s="254" t="s">
        <v>68</v>
      </c>
      <c r="K126" s="255"/>
      <c r="L126" s="256"/>
    </row>
    <row r="127" spans="1:18" ht="27" customHeight="1" x14ac:dyDescent="0.3">
      <c r="A127" s="107" t="s">
        <v>69</v>
      </c>
      <c r="B127" s="107"/>
      <c r="C127" s="108"/>
      <c r="D127" s="108"/>
      <c r="E127" s="108"/>
      <c r="F127" s="108"/>
      <c r="G127" s="109"/>
      <c r="H127" s="108"/>
      <c r="I127" s="110"/>
      <c r="J127" s="111"/>
      <c r="K127" s="112"/>
      <c r="L127" s="113"/>
    </row>
    <row r="128" spans="1:18" ht="38.25" customHeight="1" x14ac:dyDescent="0.25">
      <c r="A128" s="114"/>
      <c r="B128" s="115"/>
      <c r="C128" s="115"/>
      <c r="D128" s="115"/>
      <c r="E128" s="115"/>
      <c r="F128" s="115"/>
      <c r="G128" s="115"/>
      <c r="H128" s="115"/>
      <c r="I128" s="116"/>
      <c r="J128" s="117"/>
      <c r="K128" s="118"/>
      <c r="L128" s="119"/>
    </row>
    <row r="129" spans="1:12" ht="27.75" customHeight="1" x14ac:dyDescent="0.25">
      <c r="A129" s="120" t="s">
        <v>70</v>
      </c>
      <c r="B129" s="234" t="s">
        <v>71</v>
      </c>
      <c r="C129" s="235"/>
      <c r="D129" s="236" t="s">
        <v>72</v>
      </c>
      <c r="E129" s="237"/>
      <c r="F129" s="237"/>
      <c r="G129" s="237"/>
      <c r="H129" s="237"/>
      <c r="I129" s="237"/>
      <c r="J129" s="238"/>
      <c r="K129" s="236" t="s">
        <v>73</v>
      </c>
      <c r="L129" s="237"/>
    </row>
    <row r="130" spans="1:12" ht="42" customHeight="1" x14ac:dyDescent="0.25">
      <c r="A130" s="121"/>
      <c r="B130" s="122" t="s">
        <v>74</v>
      </c>
      <c r="C130" s="123" t="s">
        <v>75</v>
      </c>
      <c r="D130" s="239"/>
      <c r="E130" s="240"/>
      <c r="F130" s="240"/>
      <c r="G130" s="240"/>
      <c r="H130" s="240"/>
      <c r="I130" s="240"/>
      <c r="J130" s="241"/>
      <c r="K130" s="242"/>
      <c r="L130" s="243"/>
    </row>
    <row r="131" spans="1:12" ht="42" customHeight="1" x14ac:dyDescent="0.25">
      <c r="A131" s="124">
        <v>1</v>
      </c>
      <c r="B131" s="124"/>
      <c r="C131" s="125"/>
      <c r="D131" s="231" t="s">
        <v>76</v>
      </c>
      <c r="E131" s="232"/>
      <c r="F131" s="232"/>
      <c r="G131" s="232"/>
      <c r="H131" s="232"/>
      <c r="I131" s="232"/>
      <c r="J131" s="233"/>
      <c r="K131" s="230"/>
      <c r="L131" s="230"/>
    </row>
    <row r="132" spans="1:12" ht="42" customHeight="1" x14ac:dyDescent="0.25">
      <c r="A132" s="124">
        <v>2</v>
      </c>
      <c r="B132" s="124"/>
      <c r="C132" s="126"/>
      <c r="D132" s="231" t="s">
        <v>77</v>
      </c>
      <c r="E132" s="232"/>
      <c r="F132" s="232"/>
      <c r="G132" s="232"/>
      <c r="H132" s="232"/>
      <c r="I132" s="232"/>
      <c r="J132" s="233"/>
      <c r="K132" s="230"/>
      <c r="L132" s="230"/>
    </row>
    <row r="133" spans="1:12" ht="42" customHeight="1" x14ac:dyDescent="0.25">
      <c r="A133" s="124">
        <v>3</v>
      </c>
      <c r="B133" s="124"/>
      <c r="C133" s="126"/>
      <c r="D133" s="231" t="s">
        <v>78</v>
      </c>
      <c r="E133" s="232"/>
      <c r="F133" s="232"/>
      <c r="G133" s="232"/>
      <c r="H133" s="232"/>
      <c r="I133" s="232"/>
      <c r="J133" s="233"/>
      <c r="K133" s="230"/>
      <c r="L133" s="230"/>
    </row>
    <row r="134" spans="1:12" ht="42" customHeight="1" x14ac:dyDescent="0.25">
      <c r="A134" s="124">
        <v>4</v>
      </c>
      <c r="B134" s="124"/>
      <c r="C134" s="126"/>
      <c r="D134" s="231" t="s">
        <v>79</v>
      </c>
      <c r="E134" s="232"/>
      <c r="F134" s="232"/>
      <c r="G134" s="232"/>
      <c r="H134" s="232"/>
      <c r="I134" s="232"/>
      <c r="J134" s="233"/>
      <c r="K134" s="230"/>
      <c r="L134" s="230"/>
    </row>
    <row r="135" spans="1:12" ht="42" customHeight="1" x14ac:dyDescent="0.25">
      <c r="A135" s="124">
        <v>5</v>
      </c>
      <c r="B135" s="124"/>
      <c r="C135" s="126"/>
      <c r="D135" s="231" t="s">
        <v>80</v>
      </c>
      <c r="E135" s="232"/>
      <c r="F135" s="232"/>
      <c r="G135" s="232"/>
      <c r="H135" s="232"/>
      <c r="I135" s="232"/>
      <c r="J135" s="233"/>
      <c r="K135" s="230"/>
      <c r="L135" s="230"/>
    </row>
    <row r="136" spans="1:12" ht="42" customHeight="1" x14ac:dyDescent="0.25">
      <c r="A136" s="124">
        <v>6</v>
      </c>
      <c r="B136" s="124"/>
      <c r="C136" s="126"/>
      <c r="D136" s="231" t="s">
        <v>81</v>
      </c>
      <c r="E136" s="232"/>
      <c r="F136" s="232"/>
      <c r="G136" s="232"/>
      <c r="H136" s="232"/>
      <c r="I136" s="232"/>
      <c r="J136" s="233"/>
      <c r="K136" s="230"/>
      <c r="L136" s="230"/>
    </row>
    <row r="137" spans="1:12" ht="42" customHeight="1" x14ac:dyDescent="0.25">
      <c r="A137" s="124">
        <v>7</v>
      </c>
      <c r="B137" s="124"/>
      <c r="C137" s="126"/>
      <c r="D137" s="231" t="s">
        <v>82</v>
      </c>
      <c r="E137" s="232"/>
      <c r="F137" s="232"/>
      <c r="G137" s="232"/>
      <c r="H137" s="232"/>
      <c r="I137" s="232"/>
      <c r="J137" s="233"/>
      <c r="K137" s="230"/>
      <c r="L137" s="230"/>
    </row>
    <row r="138" spans="1:12" ht="42" customHeight="1" x14ac:dyDescent="0.25">
      <c r="A138" s="124">
        <v>8</v>
      </c>
      <c r="B138" s="124"/>
      <c r="C138" s="126"/>
      <c r="D138" s="257" t="s">
        <v>108</v>
      </c>
      <c r="E138" s="258"/>
      <c r="F138" s="258"/>
      <c r="G138" s="258"/>
      <c r="H138" s="258"/>
      <c r="I138" s="258"/>
      <c r="J138" s="259"/>
      <c r="K138" s="263"/>
      <c r="L138" s="264"/>
    </row>
    <row r="139" spans="1:12" ht="42" customHeight="1" x14ac:dyDescent="0.25">
      <c r="A139" s="124">
        <v>9</v>
      </c>
      <c r="B139" s="124"/>
      <c r="C139" s="126"/>
      <c r="D139" s="257" t="s">
        <v>83</v>
      </c>
      <c r="E139" s="258"/>
      <c r="F139" s="258"/>
      <c r="G139" s="258"/>
      <c r="H139" s="258"/>
      <c r="I139" s="258"/>
      <c r="J139" s="259"/>
      <c r="K139" s="230"/>
      <c r="L139" s="230"/>
    </row>
    <row r="140" spans="1:12" ht="85.5" customHeight="1" x14ac:dyDescent="0.25">
      <c r="A140" s="124">
        <v>10</v>
      </c>
      <c r="B140" s="124"/>
      <c r="C140" s="126"/>
      <c r="D140" s="257" t="s">
        <v>84</v>
      </c>
      <c r="E140" s="258"/>
      <c r="F140" s="258"/>
      <c r="G140" s="258"/>
      <c r="H140" s="258"/>
      <c r="I140" s="258"/>
      <c r="J140" s="259"/>
      <c r="K140" s="230"/>
      <c r="L140" s="230"/>
    </row>
    <row r="141" spans="1:12" ht="85.5" customHeight="1" x14ac:dyDescent="0.25">
      <c r="A141" s="124">
        <v>11</v>
      </c>
      <c r="B141" s="124"/>
      <c r="C141" s="126"/>
      <c r="D141" s="260" t="s">
        <v>85</v>
      </c>
      <c r="E141" s="261"/>
      <c r="F141" s="261"/>
      <c r="G141" s="261"/>
      <c r="H141" s="261"/>
      <c r="I141" s="261"/>
      <c r="J141" s="262"/>
      <c r="K141" s="230"/>
      <c r="L141" s="230"/>
    </row>
    <row r="142" spans="1:12" ht="61.5" customHeight="1" x14ac:dyDescent="0.25"/>
    <row r="143" spans="1:12" ht="61.5" customHeight="1" x14ac:dyDescent="0.25"/>
    <row r="144" spans="1:12" ht="61.5" customHeight="1" x14ac:dyDescent="0.25"/>
    <row r="145" ht="61.5" customHeight="1" x14ac:dyDescent="0.25"/>
    <row r="146" ht="61.5" customHeight="1" x14ac:dyDescent="0.25"/>
    <row r="147" ht="61.5" customHeight="1" x14ac:dyDescent="0.25"/>
    <row r="148" ht="61.5" customHeight="1" x14ac:dyDescent="0.25"/>
  </sheetData>
  <sheetProtection formatCells="0" formatColumns="0" formatRows="0"/>
  <mergeCells count="168">
    <mergeCell ref="N35:O35"/>
    <mergeCell ref="N36:O36"/>
    <mergeCell ref="N37:O37"/>
    <mergeCell ref="N38:O38"/>
    <mergeCell ref="N39:O39"/>
    <mergeCell ref="N50:O50"/>
    <mergeCell ref="N51:O51"/>
    <mergeCell ref="N52:O52"/>
    <mergeCell ref="N53:O53"/>
    <mergeCell ref="N45:O45"/>
    <mergeCell ref="N46:O46"/>
    <mergeCell ref="N47:O47"/>
    <mergeCell ref="N48:O48"/>
    <mergeCell ref="N49:O49"/>
    <mergeCell ref="D50:E50"/>
    <mergeCell ref="D51:E51"/>
    <mergeCell ref="D52:E52"/>
    <mergeCell ref="D53:E53"/>
    <mergeCell ref="N40:O40"/>
    <mergeCell ref="N41:O41"/>
    <mergeCell ref="N42:O42"/>
    <mergeCell ref="N43:O43"/>
    <mergeCell ref="N44:O44"/>
    <mergeCell ref="D49:E49"/>
    <mergeCell ref="D40:E40"/>
    <mergeCell ref="D41:E41"/>
    <mergeCell ref="D42:E42"/>
    <mergeCell ref="D43:E43"/>
    <mergeCell ref="D44:E44"/>
    <mergeCell ref="D30:E30"/>
    <mergeCell ref="D31:E31"/>
    <mergeCell ref="D32:E32"/>
    <mergeCell ref="D33:E33"/>
    <mergeCell ref="D34:E34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30:O30"/>
    <mergeCell ref="N31:O31"/>
    <mergeCell ref="N32:O32"/>
    <mergeCell ref="N33:O33"/>
    <mergeCell ref="N34:O34"/>
    <mergeCell ref="D134:J134"/>
    <mergeCell ref="K134:L134"/>
    <mergeCell ref="D135:J135"/>
    <mergeCell ref="K135:L135"/>
    <mergeCell ref="D136:J136"/>
    <mergeCell ref="K136:L136"/>
    <mergeCell ref="D131:J131"/>
    <mergeCell ref="K131:L131"/>
    <mergeCell ref="D132:J132"/>
    <mergeCell ref="D140:J140"/>
    <mergeCell ref="K140:L140"/>
    <mergeCell ref="D141:J141"/>
    <mergeCell ref="K141:L141"/>
    <mergeCell ref="D137:J137"/>
    <mergeCell ref="K137:L137"/>
    <mergeCell ref="D138:J138"/>
    <mergeCell ref="K138:L138"/>
    <mergeCell ref="D139:J139"/>
    <mergeCell ref="K139:L139"/>
    <mergeCell ref="K132:L132"/>
    <mergeCell ref="D133:J133"/>
    <mergeCell ref="K133:L133"/>
    <mergeCell ref="B129:C129"/>
    <mergeCell ref="D129:J130"/>
    <mergeCell ref="K129:L130"/>
    <mergeCell ref="F88:J88"/>
    <mergeCell ref="M88:R88"/>
    <mergeCell ref="M95:R95"/>
    <mergeCell ref="M96:R96"/>
    <mergeCell ref="M97:R97"/>
    <mergeCell ref="M98:R98"/>
    <mergeCell ref="M99:R99"/>
    <mergeCell ref="A124:L124"/>
    <mergeCell ref="A125:L125"/>
    <mergeCell ref="D126:I126"/>
    <mergeCell ref="J126:L126"/>
    <mergeCell ref="M87:R87"/>
    <mergeCell ref="M73:R73"/>
    <mergeCell ref="F75:K75"/>
    <mergeCell ref="M75:R75"/>
    <mergeCell ref="F77:J77"/>
    <mergeCell ref="P79:Q79"/>
    <mergeCell ref="O78:R78"/>
    <mergeCell ref="O81:R81"/>
    <mergeCell ref="M83:R83"/>
    <mergeCell ref="M84:R84"/>
    <mergeCell ref="M85:R85"/>
    <mergeCell ref="M86:R86"/>
    <mergeCell ref="N27:O27"/>
    <mergeCell ref="N28:O28"/>
    <mergeCell ref="N29:O29"/>
    <mergeCell ref="D45:E45"/>
    <mergeCell ref="D46:E46"/>
    <mergeCell ref="D47:E47"/>
    <mergeCell ref="D48:E48"/>
    <mergeCell ref="M72:R72"/>
    <mergeCell ref="B40:C41"/>
    <mergeCell ref="B42:C43"/>
    <mergeCell ref="B44:C45"/>
    <mergeCell ref="B46:C47"/>
    <mergeCell ref="B48:C49"/>
    <mergeCell ref="B50:C51"/>
    <mergeCell ref="B52:C53"/>
    <mergeCell ref="G58:H58"/>
    <mergeCell ref="G59:H59"/>
    <mergeCell ref="C63:K64"/>
    <mergeCell ref="M71:R71"/>
    <mergeCell ref="B28:C29"/>
    <mergeCell ref="B30:C31"/>
    <mergeCell ref="B32:C33"/>
    <mergeCell ref="B34:C35"/>
    <mergeCell ref="B36:C37"/>
    <mergeCell ref="L18:L19"/>
    <mergeCell ref="B20:C21"/>
    <mergeCell ref="L20:L53"/>
    <mergeCell ref="B22:C23"/>
    <mergeCell ref="B24:C25"/>
    <mergeCell ref="B26:C27"/>
    <mergeCell ref="A18:E19"/>
    <mergeCell ref="F18:F19"/>
    <mergeCell ref="G18:G19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20:E20"/>
    <mergeCell ref="D35:E35"/>
    <mergeCell ref="D36:E36"/>
    <mergeCell ref="D37:E37"/>
    <mergeCell ref="D38:E38"/>
    <mergeCell ref="D39:E39"/>
    <mergeCell ref="P20:P53"/>
    <mergeCell ref="Q20:Q53"/>
    <mergeCell ref="M2:R2"/>
    <mergeCell ref="H18:H19"/>
    <mergeCell ref="I18:I19"/>
    <mergeCell ref="L15:L17"/>
    <mergeCell ref="M15:M17"/>
    <mergeCell ref="N15:O16"/>
    <mergeCell ref="A1:L1"/>
    <mergeCell ref="A2:L2"/>
    <mergeCell ref="B15:C16"/>
    <mergeCell ref="D15:E16"/>
    <mergeCell ref="F15:F17"/>
    <mergeCell ref="G15:K16"/>
    <mergeCell ref="A4:L4"/>
    <mergeCell ref="A5:L5"/>
    <mergeCell ref="A6:L6"/>
    <mergeCell ref="C9:E9"/>
    <mergeCell ref="R15:R17"/>
    <mergeCell ref="P15:P17"/>
    <mergeCell ref="Q15:Q17"/>
    <mergeCell ref="B38:C39"/>
    <mergeCell ref="J18:J19"/>
    <mergeCell ref="K18:K19"/>
  </mergeCells>
  <phoneticPr fontId="40" type="noConversion"/>
  <printOptions horizontalCentered="1"/>
  <pageMargins left="0.25" right="0.25" top="0.75" bottom="0.75" header="0.3" footer="0.3"/>
  <pageSetup paperSize="9" scale="75" fitToWidth="2" fitToHeight="3" orientation="portrait" r:id="rId1"/>
  <rowBreaks count="2" manualBreakCount="2">
    <brk id="64" max="18" man="1"/>
    <brk id="120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Claim</vt:lpstr>
      <vt:lpstr>Claim!Print_Area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Jabatan Kastam Diraja Malaysia</dc:creator>
  <cp:keywords/>
  <dc:description/>
  <cp:lastModifiedBy>User</cp:lastModifiedBy>
  <cp:revision/>
  <cp:lastPrinted>2026-02-04T03:04:56Z</cp:lastPrinted>
  <dcterms:created xsi:type="dcterms:W3CDTF">2021-01-04T11:47:07Z</dcterms:created>
  <dcterms:modified xsi:type="dcterms:W3CDTF">2026-05-24T03:15:51Z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2023-09-25T03:10:38Z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090b46c2-ae2e-4760-b68f-d5e149d70459</vt:lpwstr>
  </property>
  <property fmtid="{D5CDD505-2E9C-101B-9397-08002B2CF9AE}" pid="7" name="MSIP_Label_defa4170-0d19-0005-0004-bc88714345d2_ActionId">
    <vt:lpwstr>8fcb021d-4a12-4e45-9ed3-1ee3d45c0e05</vt:lpwstr>
  </property>
  <property fmtid="{D5CDD505-2E9C-101B-9397-08002B2CF9AE}" pid="8" name="MSIP_Label_defa4170-0d19-0005-0004-bc88714345d2_ContentBits">
    <vt:lpwstr>0</vt:lpwstr>
  </property>
</Properties>
</file>